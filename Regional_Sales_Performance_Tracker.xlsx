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e5432651edf2ea8a/Desktop/IVY/Excel/Class Files/"/>
    </mc:Choice>
  </mc:AlternateContent>
  <xr:revisionPtr revIDLastSave="34" documentId="8_{AA47D82D-58EB-451F-8813-CF1317DA5AF7}" xr6:coauthVersionLast="47" xr6:coauthVersionMax="47" xr10:uidLastSave="{C059388F-B704-4EB0-BA1F-E3F2F826CF00}"/>
  <bookViews>
    <workbookView xWindow="-110" yWindow="-110" windowWidth="19420" windowHeight="10300" tabRatio="500" activeTab="4" xr2:uid="{00000000-000D-0000-FFFF-FFFF00000000}"/>
  </bookViews>
  <sheets>
    <sheet name="Instructions" sheetId="1" r:id="rId1"/>
    <sheet name="Lists" sheetId="2" r:id="rId2"/>
    <sheet name="Dataset" sheetId="3" r:id="rId3"/>
    <sheet name="Tracker" sheetId="4" r:id="rId4"/>
    <sheet name="Sheet1" sheetId="6" r:id="rId5"/>
    <sheet name="Answer Key (Instructor Only)" sheetId="5" state="hidden" r:id="rId6"/>
  </sheets>
  <definedNames>
    <definedName name="_xlnm._FilterDatabase" localSheetId="2" hidden="1">Dataset!$A$3:$N$323</definedName>
    <definedName name="All">Lists!$A$3:$A$6</definedName>
    <definedName name="Customer_Type">Lists!$F$2:$F$4</definedName>
    <definedName name="Order_Month">Lists!$D$2:$D$8</definedName>
    <definedName name="Order_Status">Lists!$E$2:$E$6</definedName>
    <definedName name="Product_Category">Lists!$C$2:$C$7</definedName>
    <definedName name="Region">Lists!$A$2:$A$6</definedName>
    <definedName name="Sales_Rep">Lists!$B$2:$B$11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8" i="4" l="1"/>
  <c r="C27" i="4"/>
  <c r="C28" i="4"/>
  <c r="C29" i="4"/>
  <c r="C26" i="4"/>
  <c r="C17" i="4"/>
  <c r="C22" i="4"/>
  <c r="C21" i="4" l="1"/>
  <c r="C20" i="4"/>
  <c r="C19" i="4"/>
  <c r="G37" i="5"/>
  <c r="G34" i="5"/>
  <c r="C29" i="5"/>
  <c r="C28" i="5"/>
  <c r="C27" i="5"/>
  <c r="N323" i="3"/>
  <c r="K323" i="3"/>
  <c r="N322" i="3"/>
  <c r="K322" i="3"/>
  <c r="N321" i="3"/>
  <c r="K321" i="3"/>
  <c r="N320" i="3"/>
  <c r="K320" i="3"/>
  <c r="N319" i="3"/>
  <c r="K319" i="3"/>
  <c r="N318" i="3"/>
  <c r="K318" i="3"/>
  <c r="N317" i="3"/>
  <c r="K317" i="3"/>
  <c r="N316" i="3"/>
  <c r="K316" i="3"/>
  <c r="N315" i="3"/>
  <c r="K315" i="3"/>
  <c r="N314" i="3"/>
  <c r="K314" i="3"/>
  <c r="N313" i="3"/>
  <c r="K313" i="3"/>
  <c r="N312" i="3"/>
  <c r="K312" i="3"/>
  <c r="N311" i="3"/>
  <c r="K311" i="3"/>
  <c r="N310" i="3"/>
  <c r="K310" i="3"/>
  <c r="N309" i="3"/>
  <c r="K309" i="3"/>
  <c r="N308" i="3"/>
  <c r="K308" i="3"/>
  <c r="N307" i="3"/>
  <c r="K307" i="3"/>
  <c r="N306" i="3"/>
  <c r="K306" i="3"/>
  <c r="N305" i="3"/>
  <c r="K305" i="3"/>
  <c r="N304" i="3"/>
  <c r="K304" i="3"/>
  <c r="N303" i="3"/>
  <c r="K303" i="3"/>
  <c r="N302" i="3"/>
  <c r="K302" i="3"/>
  <c r="N301" i="3"/>
  <c r="K301" i="3"/>
  <c r="N300" i="3"/>
  <c r="K300" i="3"/>
  <c r="N299" i="3"/>
  <c r="K299" i="3"/>
  <c r="N298" i="3"/>
  <c r="K298" i="3"/>
  <c r="N297" i="3"/>
  <c r="K297" i="3"/>
  <c r="N296" i="3"/>
  <c r="K296" i="3"/>
  <c r="N295" i="3"/>
  <c r="K295" i="3"/>
  <c r="N294" i="3"/>
  <c r="K294" i="3"/>
  <c r="N293" i="3"/>
  <c r="K293" i="3"/>
  <c r="N292" i="3"/>
  <c r="K292" i="3"/>
  <c r="N291" i="3"/>
  <c r="K291" i="3"/>
  <c r="N290" i="3"/>
  <c r="K290" i="3"/>
  <c r="N289" i="3"/>
  <c r="K289" i="3"/>
  <c r="N288" i="3"/>
  <c r="K288" i="3"/>
  <c r="N287" i="3"/>
  <c r="K287" i="3"/>
  <c r="N286" i="3"/>
  <c r="K286" i="3"/>
  <c r="N285" i="3"/>
  <c r="K285" i="3"/>
  <c r="N284" i="3"/>
  <c r="K284" i="3"/>
  <c r="N283" i="3"/>
  <c r="K283" i="3"/>
  <c r="N282" i="3"/>
  <c r="K282" i="3"/>
  <c r="N281" i="3"/>
  <c r="K281" i="3"/>
  <c r="N280" i="3"/>
  <c r="K280" i="3"/>
  <c r="N279" i="3"/>
  <c r="K279" i="3"/>
  <c r="N278" i="3"/>
  <c r="K278" i="3"/>
  <c r="N277" i="3"/>
  <c r="K277" i="3"/>
  <c r="N276" i="3"/>
  <c r="K276" i="3"/>
  <c r="N275" i="3"/>
  <c r="K275" i="3"/>
  <c r="N274" i="3"/>
  <c r="K274" i="3"/>
  <c r="N273" i="3"/>
  <c r="K273" i="3"/>
  <c r="N272" i="3"/>
  <c r="K272" i="3"/>
  <c r="N271" i="3"/>
  <c r="K271" i="3"/>
  <c r="N270" i="3"/>
  <c r="K270" i="3"/>
  <c r="N269" i="3"/>
  <c r="K269" i="3"/>
  <c r="N268" i="3"/>
  <c r="K268" i="3"/>
  <c r="N267" i="3"/>
  <c r="K267" i="3"/>
  <c r="N266" i="3"/>
  <c r="K266" i="3"/>
  <c r="N265" i="3"/>
  <c r="K265" i="3"/>
  <c r="N264" i="3"/>
  <c r="K264" i="3"/>
  <c r="N263" i="3"/>
  <c r="K263" i="3"/>
  <c r="N262" i="3"/>
  <c r="K262" i="3"/>
  <c r="N261" i="3"/>
  <c r="K261" i="3"/>
  <c r="N260" i="3"/>
  <c r="K260" i="3"/>
  <c r="N259" i="3"/>
  <c r="K259" i="3"/>
  <c r="N258" i="3"/>
  <c r="K258" i="3"/>
  <c r="N257" i="3"/>
  <c r="K257" i="3"/>
  <c r="N256" i="3"/>
  <c r="K256" i="3"/>
  <c r="N255" i="3"/>
  <c r="K255" i="3"/>
  <c r="N254" i="3"/>
  <c r="K254" i="3"/>
  <c r="N253" i="3"/>
  <c r="K253" i="3"/>
  <c r="N252" i="3"/>
  <c r="K252" i="3"/>
  <c r="N251" i="3"/>
  <c r="K251" i="3"/>
  <c r="N250" i="3"/>
  <c r="K250" i="3"/>
  <c r="N249" i="3"/>
  <c r="K249" i="3"/>
  <c r="N248" i="3"/>
  <c r="K248" i="3"/>
  <c r="N247" i="3"/>
  <c r="K247" i="3"/>
  <c r="N246" i="3"/>
  <c r="K246" i="3"/>
  <c r="N245" i="3"/>
  <c r="K245" i="3"/>
  <c r="N244" i="3"/>
  <c r="K244" i="3"/>
  <c r="N243" i="3"/>
  <c r="K243" i="3"/>
  <c r="N242" i="3"/>
  <c r="K242" i="3"/>
  <c r="N241" i="3"/>
  <c r="K241" i="3"/>
  <c r="N240" i="3"/>
  <c r="K240" i="3"/>
  <c r="N239" i="3"/>
  <c r="K239" i="3"/>
  <c r="N238" i="3"/>
  <c r="K238" i="3"/>
  <c r="N237" i="3"/>
  <c r="K237" i="3"/>
  <c r="N236" i="3"/>
  <c r="K236" i="3"/>
  <c r="N235" i="3"/>
  <c r="K235" i="3"/>
  <c r="N234" i="3"/>
  <c r="K234" i="3"/>
  <c r="N233" i="3"/>
  <c r="K233" i="3"/>
  <c r="N232" i="3"/>
  <c r="K232" i="3"/>
  <c r="N231" i="3"/>
  <c r="K231" i="3"/>
  <c r="N230" i="3"/>
  <c r="K230" i="3"/>
  <c r="N229" i="3"/>
  <c r="K229" i="3"/>
  <c r="N228" i="3"/>
  <c r="K228" i="3"/>
  <c r="N227" i="3"/>
  <c r="K227" i="3"/>
  <c r="N226" i="3"/>
  <c r="K226" i="3"/>
  <c r="N225" i="3"/>
  <c r="K225" i="3"/>
  <c r="N224" i="3"/>
  <c r="K224" i="3"/>
  <c r="N223" i="3"/>
  <c r="K223" i="3"/>
  <c r="N222" i="3"/>
  <c r="K222" i="3"/>
  <c r="N221" i="3"/>
  <c r="K221" i="3"/>
  <c r="N220" i="3"/>
  <c r="K220" i="3"/>
  <c r="N219" i="3"/>
  <c r="K219" i="3"/>
  <c r="N218" i="3"/>
  <c r="K218" i="3"/>
  <c r="N217" i="3"/>
  <c r="K217" i="3"/>
  <c r="N216" i="3"/>
  <c r="K216" i="3"/>
  <c r="N215" i="3"/>
  <c r="K215" i="3"/>
  <c r="N214" i="3"/>
  <c r="K214" i="3"/>
  <c r="N213" i="3"/>
  <c r="K213" i="3"/>
  <c r="N212" i="3"/>
  <c r="K212" i="3"/>
  <c r="N211" i="3"/>
  <c r="K211" i="3"/>
  <c r="N210" i="3"/>
  <c r="K210" i="3"/>
  <c r="N209" i="3"/>
  <c r="K209" i="3"/>
  <c r="N208" i="3"/>
  <c r="K208" i="3"/>
  <c r="N207" i="3"/>
  <c r="K207" i="3"/>
  <c r="N206" i="3"/>
  <c r="K206" i="3"/>
  <c r="N205" i="3"/>
  <c r="K205" i="3"/>
  <c r="N204" i="3"/>
  <c r="K204" i="3"/>
  <c r="N203" i="3"/>
  <c r="K203" i="3"/>
  <c r="N202" i="3"/>
  <c r="K202" i="3"/>
  <c r="N201" i="3"/>
  <c r="K201" i="3"/>
  <c r="N200" i="3"/>
  <c r="K200" i="3"/>
  <c r="N199" i="3"/>
  <c r="K199" i="3"/>
  <c r="N198" i="3"/>
  <c r="K198" i="3"/>
  <c r="N197" i="3"/>
  <c r="K197" i="3"/>
  <c r="N196" i="3"/>
  <c r="K196" i="3"/>
  <c r="N195" i="3"/>
  <c r="K195" i="3"/>
  <c r="N194" i="3"/>
  <c r="K194" i="3"/>
  <c r="N193" i="3"/>
  <c r="K193" i="3"/>
  <c r="N192" i="3"/>
  <c r="K192" i="3"/>
  <c r="N191" i="3"/>
  <c r="K191" i="3"/>
  <c r="N190" i="3"/>
  <c r="K190" i="3"/>
  <c r="N189" i="3"/>
  <c r="K189" i="3"/>
  <c r="N188" i="3"/>
  <c r="K188" i="3"/>
  <c r="N187" i="3"/>
  <c r="K187" i="3"/>
  <c r="N186" i="3"/>
  <c r="K186" i="3"/>
  <c r="N185" i="3"/>
  <c r="K185" i="3"/>
  <c r="N184" i="3"/>
  <c r="K184" i="3"/>
  <c r="N183" i="3"/>
  <c r="K183" i="3"/>
  <c r="N182" i="3"/>
  <c r="K182" i="3"/>
  <c r="N181" i="3"/>
  <c r="K181" i="3"/>
  <c r="N180" i="3"/>
  <c r="K180" i="3"/>
  <c r="N179" i="3"/>
  <c r="K179" i="3"/>
  <c r="N178" i="3"/>
  <c r="K178" i="3"/>
  <c r="N177" i="3"/>
  <c r="K177" i="3"/>
  <c r="N176" i="3"/>
  <c r="K176" i="3"/>
  <c r="N175" i="3"/>
  <c r="K175" i="3"/>
  <c r="N174" i="3"/>
  <c r="K174" i="3"/>
  <c r="N173" i="3"/>
  <c r="K173" i="3"/>
  <c r="N172" i="3"/>
  <c r="K172" i="3"/>
  <c r="N171" i="3"/>
  <c r="K171" i="3"/>
  <c r="N170" i="3"/>
  <c r="K170" i="3"/>
  <c r="N169" i="3"/>
  <c r="K169" i="3"/>
  <c r="N168" i="3"/>
  <c r="K168" i="3"/>
  <c r="N167" i="3"/>
  <c r="K167" i="3"/>
  <c r="N166" i="3"/>
  <c r="K166" i="3"/>
  <c r="N165" i="3"/>
  <c r="K165" i="3"/>
  <c r="N164" i="3"/>
  <c r="K164" i="3"/>
  <c r="N163" i="3"/>
  <c r="K163" i="3"/>
  <c r="N162" i="3"/>
  <c r="K162" i="3"/>
  <c r="N161" i="3"/>
  <c r="K161" i="3"/>
  <c r="N160" i="3"/>
  <c r="K160" i="3"/>
  <c r="N159" i="3"/>
  <c r="K159" i="3"/>
  <c r="N158" i="3"/>
  <c r="K158" i="3"/>
  <c r="N157" i="3"/>
  <c r="K157" i="3"/>
  <c r="N156" i="3"/>
  <c r="K156" i="3"/>
  <c r="N155" i="3"/>
  <c r="K155" i="3"/>
  <c r="N154" i="3"/>
  <c r="K154" i="3"/>
  <c r="N153" i="3"/>
  <c r="K153" i="3"/>
  <c r="N152" i="3"/>
  <c r="K152" i="3"/>
  <c r="N151" i="3"/>
  <c r="K151" i="3"/>
  <c r="N150" i="3"/>
  <c r="K150" i="3"/>
  <c r="N149" i="3"/>
  <c r="K149" i="3"/>
  <c r="N148" i="3"/>
  <c r="K148" i="3"/>
  <c r="N147" i="3"/>
  <c r="K147" i="3"/>
  <c r="N146" i="3"/>
  <c r="K146" i="3"/>
  <c r="N145" i="3"/>
  <c r="K145" i="3"/>
  <c r="N144" i="3"/>
  <c r="K144" i="3"/>
  <c r="N143" i="3"/>
  <c r="K143" i="3"/>
  <c r="N142" i="3"/>
  <c r="K142" i="3"/>
  <c r="N141" i="3"/>
  <c r="K141" i="3"/>
  <c r="N140" i="3"/>
  <c r="K140" i="3"/>
  <c r="N139" i="3"/>
  <c r="K139" i="3"/>
  <c r="N138" i="3"/>
  <c r="K138" i="3"/>
  <c r="N137" i="3"/>
  <c r="K137" i="3"/>
  <c r="N136" i="3"/>
  <c r="K136" i="3"/>
  <c r="N135" i="3"/>
  <c r="K135" i="3"/>
  <c r="N134" i="3"/>
  <c r="K134" i="3"/>
  <c r="N133" i="3"/>
  <c r="K133" i="3"/>
  <c r="N132" i="3"/>
  <c r="K132" i="3"/>
  <c r="N131" i="3"/>
  <c r="K131" i="3"/>
  <c r="N130" i="3"/>
  <c r="K130" i="3"/>
  <c r="N129" i="3"/>
  <c r="K129" i="3"/>
  <c r="N128" i="3"/>
  <c r="K128" i="3"/>
  <c r="N127" i="3"/>
  <c r="K127" i="3"/>
  <c r="N126" i="3"/>
  <c r="K126" i="3"/>
  <c r="N125" i="3"/>
  <c r="K125" i="3"/>
  <c r="N124" i="3"/>
  <c r="K124" i="3"/>
  <c r="N123" i="3"/>
  <c r="K123" i="3"/>
  <c r="N122" i="3"/>
  <c r="K122" i="3"/>
  <c r="N121" i="3"/>
  <c r="K121" i="3"/>
  <c r="N120" i="3"/>
  <c r="K120" i="3"/>
  <c r="N119" i="3"/>
  <c r="K119" i="3"/>
  <c r="N118" i="3"/>
  <c r="K118" i="3"/>
  <c r="N117" i="3"/>
  <c r="K117" i="3"/>
  <c r="N116" i="3"/>
  <c r="K116" i="3"/>
  <c r="N115" i="3"/>
  <c r="K115" i="3"/>
  <c r="N114" i="3"/>
  <c r="K114" i="3"/>
  <c r="N113" i="3"/>
  <c r="K113" i="3"/>
  <c r="N112" i="3"/>
  <c r="K112" i="3"/>
  <c r="N111" i="3"/>
  <c r="K111" i="3"/>
  <c r="N110" i="3"/>
  <c r="K110" i="3"/>
  <c r="N109" i="3"/>
  <c r="K109" i="3"/>
  <c r="N108" i="3"/>
  <c r="K108" i="3"/>
  <c r="N107" i="3"/>
  <c r="K107" i="3"/>
  <c r="N106" i="3"/>
  <c r="K106" i="3"/>
  <c r="N105" i="3"/>
  <c r="K105" i="3"/>
  <c r="N104" i="3"/>
  <c r="K104" i="3"/>
  <c r="N103" i="3"/>
  <c r="K103" i="3"/>
  <c r="N102" i="3"/>
  <c r="K102" i="3"/>
  <c r="N101" i="3"/>
  <c r="K101" i="3"/>
  <c r="N100" i="3"/>
  <c r="K100" i="3"/>
  <c r="N99" i="3"/>
  <c r="K99" i="3"/>
  <c r="N98" i="3"/>
  <c r="K98" i="3"/>
  <c r="N97" i="3"/>
  <c r="K97" i="3"/>
  <c r="N96" i="3"/>
  <c r="K96" i="3"/>
  <c r="N95" i="3"/>
  <c r="K95" i="3"/>
  <c r="N94" i="3"/>
  <c r="K94" i="3"/>
  <c r="N93" i="3"/>
  <c r="K93" i="3"/>
  <c r="N92" i="3"/>
  <c r="K92" i="3"/>
  <c r="N91" i="3"/>
  <c r="K91" i="3"/>
  <c r="N90" i="3"/>
  <c r="K90" i="3"/>
  <c r="N89" i="3"/>
  <c r="K89" i="3"/>
  <c r="N88" i="3"/>
  <c r="K88" i="3"/>
  <c r="N87" i="3"/>
  <c r="K87" i="3"/>
  <c r="N86" i="3"/>
  <c r="K86" i="3"/>
  <c r="N85" i="3"/>
  <c r="K85" i="3"/>
  <c r="N84" i="3"/>
  <c r="K84" i="3"/>
  <c r="N83" i="3"/>
  <c r="K83" i="3"/>
  <c r="N82" i="3"/>
  <c r="K82" i="3"/>
  <c r="N81" i="3"/>
  <c r="K81" i="3"/>
  <c r="N80" i="3"/>
  <c r="K80" i="3"/>
  <c r="N79" i="3"/>
  <c r="K79" i="3"/>
  <c r="N78" i="3"/>
  <c r="K78" i="3"/>
  <c r="N77" i="3"/>
  <c r="K77" i="3"/>
  <c r="N76" i="3"/>
  <c r="K76" i="3"/>
  <c r="N75" i="3"/>
  <c r="K75" i="3"/>
  <c r="N74" i="3"/>
  <c r="K74" i="3"/>
  <c r="N73" i="3"/>
  <c r="K73" i="3"/>
  <c r="N72" i="3"/>
  <c r="K72" i="3"/>
  <c r="N71" i="3"/>
  <c r="K71" i="3"/>
  <c r="N70" i="3"/>
  <c r="K70" i="3"/>
  <c r="N69" i="3"/>
  <c r="K69" i="3"/>
  <c r="N68" i="3"/>
  <c r="K68" i="3"/>
  <c r="N67" i="3"/>
  <c r="K67" i="3"/>
  <c r="N66" i="3"/>
  <c r="K66" i="3"/>
  <c r="N65" i="3"/>
  <c r="K65" i="3"/>
  <c r="N64" i="3"/>
  <c r="K64" i="3"/>
  <c r="N63" i="3"/>
  <c r="K63" i="3"/>
  <c r="N62" i="3"/>
  <c r="K62" i="3"/>
  <c r="N61" i="3"/>
  <c r="K61" i="3"/>
  <c r="N60" i="3"/>
  <c r="K60" i="3"/>
  <c r="N59" i="3"/>
  <c r="K59" i="3"/>
  <c r="N58" i="3"/>
  <c r="K58" i="3"/>
  <c r="N57" i="3"/>
  <c r="K57" i="3"/>
  <c r="N56" i="3"/>
  <c r="K56" i="3"/>
  <c r="N55" i="3"/>
  <c r="K55" i="3"/>
  <c r="N54" i="3"/>
  <c r="K54" i="3"/>
  <c r="N53" i="3"/>
  <c r="K53" i="3"/>
  <c r="N52" i="3"/>
  <c r="K52" i="3"/>
  <c r="N51" i="3"/>
  <c r="K51" i="3"/>
  <c r="N50" i="3"/>
  <c r="K50" i="3"/>
  <c r="N49" i="3"/>
  <c r="K49" i="3"/>
  <c r="N48" i="3"/>
  <c r="K48" i="3"/>
  <c r="N47" i="3"/>
  <c r="K47" i="3"/>
  <c r="N46" i="3"/>
  <c r="K46" i="3"/>
  <c r="N45" i="3"/>
  <c r="K45" i="3"/>
  <c r="N44" i="3"/>
  <c r="K44" i="3"/>
  <c r="N43" i="3"/>
  <c r="K43" i="3"/>
  <c r="N42" i="3"/>
  <c r="K42" i="3"/>
  <c r="N41" i="3"/>
  <c r="K41" i="3"/>
  <c r="N40" i="3"/>
  <c r="K40" i="3"/>
  <c r="N39" i="3"/>
  <c r="K39" i="3"/>
  <c r="N38" i="3"/>
  <c r="K38" i="3"/>
  <c r="N37" i="3"/>
  <c r="K37" i="3"/>
  <c r="N36" i="3"/>
  <c r="K36" i="3"/>
  <c r="N35" i="3"/>
  <c r="K35" i="3"/>
  <c r="N34" i="3"/>
  <c r="K34" i="3"/>
  <c r="N33" i="3"/>
  <c r="K33" i="3"/>
  <c r="N32" i="3"/>
  <c r="K32" i="3"/>
  <c r="N31" i="3"/>
  <c r="K31" i="3"/>
  <c r="N30" i="3"/>
  <c r="K30" i="3"/>
  <c r="N29" i="3"/>
  <c r="K29" i="3"/>
  <c r="N28" i="3"/>
  <c r="K28" i="3"/>
  <c r="N27" i="3"/>
  <c r="K27" i="3"/>
  <c r="N26" i="3"/>
  <c r="K26" i="3"/>
  <c r="N25" i="3"/>
  <c r="K25" i="3"/>
  <c r="N24" i="3"/>
  <c r="K24" i="3"/>
  <c r="N23" i="3"/>
  <c r="K23" i="3"/>
  <c r="N22" i="3"/>
  <c r="K22" i="3"/>
  <c r="N21" i="3"/>
  <c r="K21" i="3"/>
  <c r="N20" i="3"/>
  <c r="K20" i="3"/>
  <c r="N19" i="3"/>
  <c r="K19" i="3"/>
  <c r="N18" i="3"/>
  <c r="G36" i="5" s="1"/>
  <c r="K18" i="3"/>
  <c r="N17" i="3"/>
  <c r="K17" i="3"/>
  <c r="N16" i="3"/>
  <c r="K16" i="3"/>
  <c r="N15" i="3"/>
  <c r="K15" i="3"/>
  <c r="N14" i="3"/>
  <c r="K14" i="3"/>
  <c r="N13" i="3"/>
  <c r="K13" i="3"/>
  <c r="N12" i="3"/>
  <c r="K12" i="3"/>
  <c r="N11" i="3"/>
  <c r="K11" i="3"/>
  <c r="N10" i="3"/>
  <c r="K10" i="3"/>
  <c r="N9" i="3"/>
  <c r="K9" i="3"/>
  <c r="N8" i="3"/>
  <c r="K8" i="3"/>
  <c r="N7" i="3"/>
  <c r="K7" i="3"/>
  <c r="N6" i="3"/>
  <c r="K6" i="3"/>
  <c r="N5" i="3"/>
  <c r="G33" i="5" s="1"/>
  <c r="K5" i="3"/>
  <c r="N4" i="3"/>
  <c r="C20" i="5" s="1"/>
  <c r="K4" i="3"/>
  <c r="C21" i="5" l="1"/>
  <c r="C22" i="5"/>
  <c r="C23" i="5"/>
  <c r="C30" i="5"/>
  <c r="C18" i="5"/>
  <c r="C19" i="5"/>
  <c r="G35" i="5"/>
  <c r="C3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7" authorId="0" shapeId="0" xr:uid="{00000000-0006-0000-0300-000001000000}">
      <text>
        <r>
          <rPr>
            <sz val="10"/>
            <rFont val="Arial"/>
            <family val="2"/>
          </rPr>
          <t>WORKED EXAMPLE — study this formula pattern.
COUNTIFS counts Dataset rows where ALL six columns match the six filter cells (C6:C11) at once.
Each criteria uses IF(filter="All","*",filter) so that when a dropdown is set to 'All', it becomes the wildcard "*" and matches every value in that column instead of filtering on it.
Reuse this exact pattern (swap the sum/average range and keep the six criteria pairs) for every other TO DO cell below.</t>
        </r>
      </text>
    </comment>
    <comment ref="C18" authorId="0" shapeId="0" xr:uid="{00000000-0006-0000-0300-000002000000}">
      <text>
        <r>
          <rPr>
            <sz val="10"/>
            <rFont val="Arial"/>
            <family val="2"/>
          </rPr>
          <t>Build this KPI using SUMIFS, following the exact pattern in the worked example (cell C17).
It must respect all six filters in C6:C11, using IF(filter="All","*",filter) for each one.</t>
        </r>
      </text>
    </comment>
    <comment ref="C19" authorId="0" shapeId="0" xr:uid="{00000000-0006-0000-0300-000003000000}">
      <text>
        <r>
          <rPr>
            <sz val="10"/>
            <rFont val="Arial"/>
            <family val="2"/>
          </rPr>
          <t>Build this KPI using SUMIFS, following the exact pattern in the worked example (cell C17).
It must respect all six filters in C6:C11, using IF(filter="All","*",filter) for each one.</t>
        </r>
      </text>
    </comment>
    <comment ref="C20" authorId="0" shapeId="0" xr:uid="{00000000-0006-0000-0300-000004000000}">
      <text>
        <r>
          <rPr>
            <sz val="10"/>
            <rFont val="Arial"/>
            <family val="2"/>
          </rPr>
          <t>Build this KPI using AVERAGEIFS, following the exact pattern in the worked example (cell C17).
It must respect all six filters in C6:C11, using IF(filter="All","*",filter) for each one. Wrap the whole formula in IFERROR(...,0) so a zero-match filter shows 0 instead of #DIV/0!.</t>
        </r>
      </text>
    </comment>
    <comment ref="C21" authorId="0" shapeId="0" xr:uid="{00000000-0006-0000-0300-000005000000}">
      <text>
        <r>
          <rPr>
            <sz val="10"/>
            <rFont val="Arial"/>
            <family val="2"/>
          </rPr>
          <t>Build this KPI using SUMIFS, following the exact pattern in the worked example (cell C17).
It must respect all six filters in C6:C11, using IF(filter="All","*",filter) for each one. There is no 'discount amount' column in the Dataset — you will need SUMPRODUCT or a SUMIFS-based calculation using Units Sold, Unit Price and Discount % together. Think about what 'discount given' means in dollars: Units x Unit Price x Discount %.</t>
        </r>
      </text>
    </comment>
    <comment ref="C22" authorId="0" shapeId="0" xr:uid="{00000000-0006-0000-0300-000006000000}">
      <text>
        <r>
          <rPr>
            <sz val="10"/>
            <rFont val="Arial"/>
            <family val="2"/>
          </rPr>
          <t>Build this KPI:
Target Achievement % = Total Sales Amount (the KPI above) / Monthly Sales Target (cell C12).
Wrap it in IFERROR(...,0) in case the target is ever blank or zero.</t>
        </r>
      </text>
    </comment>
    <comment ref="C26" authorId="0" shapeId="0" xr:uid="{CFEF077C-A9E8-469F-826A-3D5B6E680ABD}">
      <text>
        <r>
          <rPr>
            <sz val="10"/>
            <rFont val="Arial"/>
            <family val="2"/>
          </rPr>
          <t>WORKED EXAMPLE — study this formula pattern.
COUNTIFS counts Dataset rows where ALL six columns match the six filter cells (C6:C11) at once.
Each criteria uses IF(filter="All","*",filter) so that when a dropdown is set to 'All', it becomes the wildcard "*" and matches every value in that column instead of filtering on it.
Reuse this exact pattern (swap the sum/average range and keep the six criteria pairs) for every other TO DO cell below.</t>
        </r>
      </text>
    </comment>
    <comment ref="C27" authorId="0" shapeId="0" xr:uid="{00000000-0006-0000-0300-000008000000}">
      <text>
        <r>
          <rPr>
            <sz val="10"/>
            <rFont val="Arial"/>
            <family val="2"/>
          </rPr>
          <t>Count Dataset rows where Order Status = "Pending" AND all six filters in C6:C11 match, using the same IF(filter="All","*",filter) pattern as the worked example. Use COUNTIFS with Order Status as a 7th fixed criteria pair (hard-code "Pending", not a filter cell).</t>
        </r>
      </text>
    </comment>
    <comment ref="C28" authorId="0" shapeId="0" xr:uid="{00000000-0006-0000-0300-000009000000}">
      <text>
        <r>
          <rPr>
            <sz val="10"/>
            <rFont val="Arial"/>
            <family val="2"/>
          </rPr>
          <t>Count Dataset rows where Order Status = "Cancelled" AND all six filters in C6:C11 match, using the same IF(filter="All","*",filter) pattern as the worked example. Use COUNTIFS with Order Status as a 7th fixed criteria pair (hard-code "Cancelled", not a filter cell).</t>
        </r>
      </text>
    </comment>
    <comment ref="C29" authorId="0" shapeId="0" xr:uid="{00000000-0006-0000-0300-00000A000000}">
      <text>
        <r>
          <rPr>
            <sz val="10"/>
            <rFont val="Arial"/>
            <family val="2"/>
          </rPr>
          <t>Count Dataset rows where Order Status = "Returned" AND all six filters in C6:C11 match, using the same IF(filter="All","*",filter) pattern as the worked example. Use COUNTIFS with Order Status as a 7th fixed criteria pair (hard-code "Returned", not a filter cell).</t>
        </r>
      </text>
    </comment>
  </commentList>
</comments>
</file>

<file path=xl/sharedStrings.xml><?xml version="1.0" encoding="utf-8"?>
<sst xmlns="http://schemas.openxmlformats.org/spreadsheetml/2006/main" count="2745" uniqueCount="480">
  <si>
    <t>Excel Exercise: Build a Regional Sales Performance Tracker</t>
  </si>
  <si>
    <t>1. Business Problem</t>
  </si>
  <si>
    <t>NorthStar Retail Co. sells products across four regions (North, South, East, West) through a team of regional sales representatives. Every order is logged in a system, but the regional sales managers currently have no easy way to check performance — they either wait for a monthly report from HQ or scroll through hundreds of raw rows themselves.</t>
  </si>
  <si>
    <t>Your job: build an interactive Sales Performance Tracker on the 'Tracker' sheet. A manager should be able to pick a Region, Sales Rep, Product Category, Month, Order Status and Customer Type from dropdown lists, and instantly see updated KPIs (total sales, orders, units, average order value, discount given, target achievement, and an order-status breakdown) — without touching the raw data or writing any new formulas themselves.</t>
  </si>
  <si>
    <t>2. What You Are Given</t>
  </si>
  <si>
    <t>•  'Dataset' sheet — 320 rows of raw order-level data. Do not edit this sheet.</t>
  </si>
  <si>
    <t>•  'Lists' sheet — the unique values (Region, Rep, Category, Month, Status, Customer Type) used to power your dropdowns. Do not edit this sheet.</t>
  </si>
  <si>
    <t>•  'Tracker' sheet — a partly-built dashboard. The filter dropdowns are already set up. One KPI ('Total Orders') is already solved for you as a worked example — study its formula in cell C13 before you start. Every other yellow/orange 'TO DO' cell is left for you to complete.</t>
  </si>
  <si>
    <t>3. Your Tasks</t>
  </si>
  <si>
    <t>•  Task 1 — Understand the data. Open the 'Dataset' sheet and review the data dictionary below (Section 5).</t>
  </si>
  <si>
    <t>•  Task 2 — Study the dropdowns. Click cells C6:C11 on the 'Tracker' sheet. Each uses Data Validation (Data tab &gt; Data Validation) with its list sourced from the 'Lists' sheet. Notice every list includes an 'All' option — this lets a manager view every record for that field instead of filtering.</t>
  </si>
  <si>
    <t>•  Task 3 — Build the KPI formulas (cells marked 'TO DO'). Use SUMIFS, COUNTIFS and AVERAGEIFS so each KPI recalculates automatically based on the six filter cells. Every filter must be respected by every formula, even the ones already set to 'All'.</t>
  </si>
  <si>
    <t>•  Task 4 — Handle 'All' correctly. SUMIFS/COUNTIFS/AVERAGEIFS treat the text "*" as a wildcard that matches anything. Wrap each filter reference like this: IF($C$6="All","*",$C$6) — this is exactly the pattern used in the worked example in C13.</t>
  </si>
  <si>
    <t>•  Task 5 — Build the Order Status breakdown table (rows 27-31) showing the count of orders in each status, still respecting all six filters.</t>
  </si>
  <si>
    <t>•  Task 6 — Add a Target Achievement % KPI that divides Total Sales Amount by the Monthly Sales Target input cell (C12).</t>
  </si>
  <si>
    <t>•  Task 7 — Test it. Change the dropdowns to different combinations (including 'All') and confirm every KPI updates sensibly. Try a filter combination that matches zero rows — your formulas should show 0, not an error.</t>
  </si>
  <si>
    <t>4. Functions You Will Need</t>
  </si>
  <si>
    <t>•  SUMIFS(sum_range, criteria_range1, criteria1, criteria_range2, criteria2, ...) — adds values that meet multiple conditions.</t>
  </si>
  <si>
    <t>•  COUNTIFS(criteria_range1, criteria1, ...) — counts rows that meet multiple conditions.</t>
  </si>
  <si>
    <t>•  AVERAGEIFS(average_range, criteria_range1, criteria1, ...) — averages values that meet multiple conditions.</t>
  </si>
  <si>
    <t>•  IF(condition, value_if_true, value_if_false) — used inside the criteria to swap in the "*" wildcard whenever a filter is set to "All".</t>
  </si>
  <si>
    <t>•  IFERROR(formula, value_if_error) — use this to make Average Order Value show 0 instead of a divide-by-zero error when a filter combination matches no orders.</t>
  </si>
  <si>
    <t>5. Data Dictionary (Dataset sheet)</t>
  </si>
  <si>
    <t>•  Order ID — Unique order identifier (e.g. ORD-1001)</t>
  </si>
  <si>
    <t>•  Order Date — Date the order was placed (Jan–Jun 2026)</t>
  </si>
  <si>
    <t>•  Region — North / South / East / West</t>
  </si>
  <si>
    <t>•  State — State the order shipped to</t>
  </si>
  <si>
    <t>•  Sales Rep — Name of the rep who owns the order</t>
  </si>
  <si>
    <t>•  Product Category — One of 5 categories</t>
  </si>
  <si>
    <t>•  Product Name — Specific product sold</t>
  </si>
  <si>
    <t>•  Units Sold — Quantity of units on the order</t>
  </si>
  <si>
    <t>•  Unit Price ($) — List price per unit</t>
  </si>
  <si>
    <t>•  Discount % — Discount applied, stored as a fraction (0.10 = 10%)</t>
  </si>
  <si>
    <t>•  Sales Amount ($) — = Units Sold x Unit Price x (1 - Discount %)</t>
  </si>
  <si>
    <t>•  Order Status — Delivered / Pending / Cancelled / Returned</t>
  </si>
  <si>
    <t>•  Customer Type — B2C or B2B</t>
  </si>
  <si>
    <t>•  Order Month — Order Date shown as Mmm-YY, e.g. Jan-26 (for the Month filter)</t>
  </si>
  <si>
    <t>6. Deliverable &amp; Evaluation Rubric</t>
  </si>
  <si>
    <t>•  All 'TO DO' cells on the Tracker sheet contain live formulas (no typed-in numbers).</t>
  </si>
  <si>
    <t>•  Every formula respects all six filter cells, including when a filter is set to 'All'.</t>
  </si>
  <si>
    <t>•  Average Order Value never shows a divide-by-zero error, even with a zero-match filter.</t>
  </si>
  <si>
    <t>•  Order Status breakdown table adds up to the same Total Orders KPI shown above it.</t>
  </si>
  <si>
    <t>•  Target Achievement % updates correctly when the Monthly Sales Target input is changed.</t>
  </si>
  <si>
    <t>•  Dashboard is readable: currency formatted with ₹ or $, percentages formatted with %.</t>
  </si>
  <si>
    <t>7. Stretch Goal (optional, for advanced students)</t>
  </si>
  <si>
    <t>•  Add a KPI that shows the single best-selling Product Category by Sales Amount under the current filters, using MAXIFS combined with INDEX/MATCH. This is intentionally harder — attempt it only once the required KPIs above are complete and correct.</t>
  </si>
  <si>
    <t>Region</t>
  </si>
  <si>
    <t>Sales Rep</t>
  </si>
  <si>
    <t>Product Category</t>
  </si>
  <si>
    <t>Order Month</t>
  </si>
  <si>
    <t>Order Status</t>
  </si>
  <si>
    <t>Customer Type</t>
  </si>
  <si>
    <t>All</t>
  </si>
  <si>
    <t>North</t>
  </si>
  <si>
    <t>Aditya Sharma</t>
  </si>
  <si>
    <t>Electronics</t>
  </si>
  <si>
    <t>Jan-26</t>
  </si>
  <si>
    <t>Delivered</t>
  </si>
  <si>
    <t>B2C</t>
  </si>
  <si>
    <t>South</t>
  </si>
  <si>
    <t>Ananya Das</t>
  </si>
  <si>
    <t>Apparel</t>
  </si>
  <si>
    <t>Feb-26</t>
  </si>
  <si>
    <t>Pending</t>
  </si>
  <si>
    <t>B2B</t>
  </si>
  <si>
    <t>East</t>
  </si>
  <si>
    <t>Divya Nair</t>
  </si>
  <si>
    <t>Home &amp; Kitchen</t>
  </si>
  <si>
    <t>Mar-26</t>
  </si>
  <si>
    <t>Cancelled</t>
  </si>
  <si>
    <t>West</t>
  </si>
  <si>
    <t>Karthik Iyer</t>
  </si>
  <si>
    <t>Sporting Goods</t>
  </si>
  <si>
    <t>Apr-26</t>
  </si>
  <si>
    <t>Returned</t>
  </si>
  <si>
    <t>Note: 'All' is included in every list so a</t>
  </si>
  <si>
    <t>Neha Joshi</t>
  </si>
  <si>
    <t>Beauty &amp; Personal Care</t>
  </si>
  <si>
    <t>May-26</t>
  </si>
  <si>
    <t>Priya Mehta</t>
  </si>
  <si>
    <t>Jun-26</t>
  </si>
  <si>
    <t>Rohan Patel</t>
  </si>
  <si>
    <t>Sourav Banerjee</t>
  </si>
  <si>
    <t>Dataset — Raw Order Data (DO NOT EDIT)</t>
  </si>
  <si>
    <t>Order ID</t>
  </si>
  <si>
    <t>Order Date</t>
  </si>
  <si>
    <t>State</t>
  </si>
  <si>
    <t>Product Name</t>
  </si>
  <si>
    <t>Units Sold</t>
  </si>
  <si>
    <t>Unit Price ($)</t>
  </si>
  <si>
    <t>Discount %</t>
  </si>
  <si>
    <t>Sales Amount ($)</t>
  </si>
  <si>
    <t>ORD-1180</t>
  </si>
  <si>
    <t>Maharashtra</t>
  </si>
  <si>
    <t>Non-stick Pan</t>
  </si>
  <si>
    <t>ORD-1203</t>
  </si>
  <si>
    <t>West Bengal</t>
  </si>
  <si>
    <t>Bluetooth Speaker</t>
  </si>
  <si>
    <t>ORD-1025</t>
  </si>
  <si>
    <t>Delhi</t>
  </si>
  <si>
    <t>Mixer Grinder</t>
  </si>
  <si>
    <t>ORD-1293</t>
  </si>
  <si>
    <t>Kerala</t>
  </si>
  <si>
    <t>Storage Containers</t>
  </si>
  <si>
    <t>ORD-1188</t>
  </si>
  <si>
    <t>Punjab</t>
  </si>
  <si>
    <t>Face Wash</t>
  </si>
  <si>
    <t>ORD-1055</t>
  </si>
  <si>
    <t>Haryana</t>
  </si>
  <si>
    <t>Smartwatch</t>
  </si>
  <si>
    <t>ORD-1216</t>
  </si>
  <si>
    <t>Gujarat</t>
  </si>
  <si>
    <t>Power Bank</t>
  </si>
  <si>
    <t>ORD-1038</t>
  </si>
  <si>
    <t>LED Lamp</t>
  </si>
  <si>
    <t>ORD-1204</t>
  </si>
  <si>
    <t>Odisha</t>
  </si>
  <si>
    <t>ORD-1266</t>
  </si>
  <si>
    <t>ORD-1028</t>
  </si>
  <si>
    <t>Sunscreen</t>
  </si>
  <si>
    <t>ORD-1168</t>
  </si>
  <si>
    <t>ORD-1248</t>
  </si>
  <si>
    <t>Wireless Earbuds</t>
  </si>
  <si>
    <t>ORD-1297</t>
  </si>
  <si>
    <t>Rajasthan</t>
  </si>
  <si>
    <t>Men's T-Shirt</t>
  </si>
  <si>
    <t>ORD-1066</t>
  </si>
  <si>
    <t>Dumbbell Set</t>
  </si>
  <si>
    <t>ORD-1067</t>
  </si>
  <si>
    <t>Perfume</t>
  </si>
  <si>
    <t>ORD-1134</t>
  </si>
  <si>
    <t>ORD-1313</t>
  </si>
  <si>
    <t>ORD-1003</t>
  </si>
  <si>
    <t>Women's Kurti</t>
  </si>
  <si>
    <t>ORD-1084</t>
  </si>
  <si>
    <t>Bihar</t>
  </si>
  <si>
    <t>ORD-1182</t>
  </si>
  <si>
    <t>ORD-1249</t>
  </si>
  <si>
    <t>Running Shoes</t>
  </si>
  <si>
    <t>ORD-1012</t>
  </si>
  <si>
    <t>ORD-1186</t>
  </si>
  <si>
    <t>ORD-1265</t>
  </si>
  <si>
    <t>ORD-1228</t>
  </si>
  <si>
    <t>ORD-1254</t>
  </si>
  <si>
    <t>Yoga Mat</t>
  </si>
  <si>
    <t>ORD-1014</t>
  </si>
  <si>
    <t>ORD-1060</t>
  </si>
  <si>
    <t>Badminton Racket</t>
  </si>
  <si>
    <t>ORD-1015</t>
  </si>
  <si>
    <t>Hair Serum</t>
  </si>
  <si>
    <t>ORD-1115</t>
  </si>
  <si>
    <t>ORD-1145</t>
  </si>
  <si>
    <t>ORD-1018</t>
  </si>
  <si>
    <t>ORD-1042</t>
  </si>
  <si>
    <t>Denim Jacket</t>
  </si>
  <si>
    <t>ORD-1106</t>
  </si>
  <si>
    <t>ORD-1127</t>
  </si>
  <si>
    <t>Tamil Nadu</t>
  </si>
  <si>
    <t>ORD-1131</t>
  </si>
  <si>
    <t>ORD-1202</t>
  </si>
  <si>
    <t>ORD-1176</t>
  </si>
  <si>
    <t>ORD-1312</t>
  </si>
  <si>
    <t>ORD-1016</t>
  </si>
  <si>
    <t>ORD-1062</t>
  </si>
  <si>
    <t>ORD-1079</t>
  </si>
  <si>
    <t>ORD-1029</t>
  </si>
  <si>
    <t>Cricket Bat</t>
  </si>
  <si>
    <t>ORD-1236</t>
  </si>
  <si>
    <t>ORD-1111</t>
  </si>
  <si>
    <t>ORD-1169</t>
  </si>
  <si>
    <t>ORD-1213</t>
  </si>
  <si>
    <t>ORD-1273</t>
  </si>
  <si>
    <t>ORD-1310</t>
  </si>
  <si>
    <t>ORD-1181</t>
  </si>
  <si>
    <t>ORD-1087</t>
  </si>
  <si>
    <t>Karnataka</t>
  </si>
  <si>
    <t>ORD-1090</t>
  </si>
  <si>
    <t>ORD-1103</t>
  </si>
  <si>
    <t>ORD-1226</t>
  </si>
  <si>
    <t>ORD-1307</t>
  </si>
  <si>
    <t>ORD-1156</t>
  </si>
  <si>
    <t>ORD-1151</t>
  </si>
  <si>
    <t>ORD-1040</t>
  </si>
  <si>
    <t>ORD-1073</t>
  </si>
  <si>
    <t>ORD-1142</t>
  </si>
  <si>
    <t>ORD-1085</t>
  </si>
  <si>
    <t>ORD-1108</t>
  </si>
  <si>
    <t>ORD-1125</t>
  </si>
  <si>
    <t>ORD-1077</t>
  </si>
  <si>
    <t>ORD-1081</t>
  </si>
  <si>
    <t>ORD-1039</t>
  </si>
  <si>
    <t>ORD-1094</t>
  </si>
  <si>
    <t>ORD-1074</t>
  </si>
  <si>
    <t>ORD-1185</t>
  </si>
  <si>
    <t>ORD-1100</t>
  </si>
  <si>
    <t>ORD-1148</t>
  </si>
  <si>
    <t>ORD-1010</t>
  </si>
  <si>
    <t>ORD-1123</t>
  </si>
  <si>
    <t>ORD-1305</t>
  </si>
  <si>
    <t>ORD-1224</t>
  </si>
  <si>
    <t>ORD-1086</t>
  </si>
  <si>
    <t>ORD-1270</t>
  </si>
  <si>
    <t>ORD-1146</t>
  </si>
  <si>
    <t>ORD-1298</t>
  </si>
  <si>
    <t>ORD-1187</t>
  </si>
  <si>
    <t>ORD-1290</t>
  </si>
  <si>
    <t>ORD-1250</t>
  </si>
  <si>
    <t>ORD-1301</t>
  </si>
  <si>
    <t>ORD-1026</t>
  </si>
  <si>
    <t>ORD-1043</t>
  </si>
  <si>
    <t>ORD-1243</t>
  </si>
  <si>
    <t>ORD-1256</t>
  </si>
  <si>
    <t>ORD-1007</t>
  </si>
  <si>
    <t>ORD-1093</t>
  </si>
  <si>
    <t>ORD-1218</t>
  </si>
  <si>
    <t>ORD-1099</t>
  </si>
  <si>
    <t>ORD-1238</t>
  </si>
  <si>
    <t>ORD-1259</t>
  </si>
  <si>
    <t>ORD-1264</t>
  </si>
  <si>
    <t>ORD-1267</t>
  </si>
  <si>
    <t>ORD-1292</t>
  </si>
  <si>
    <t>ORD-1299</t>
  </si>
  <si>
    <t>ORD-1235</t>
  </si>
  <si>
    <t>ORD-1004</t>
  </si>
  <si>
    <t>ORD-1001</t>
  </si>
  <si>
    <t>ORD-1272</t>
  </si>
  <si>
    <t>ORD-1071</t>
  </si>
  <si>
    <t>ORD-1240</t>
  </si>
  <si>
    <t>ORD-1205</t>
  </si>
  <si>
    <t>ORD-1041</t>
  </si>
  <si>
    <t>ORD-1239</t>
  </si>
  <si>
    <t>ORD-1119</t>
  </si>
  <si>
    <t>ORD-1177</t>
  </si>
  <si>
    <t>ORD-1192</t>
  </si>
  <si>
    <t>ORD-1245</t>
  </si>
  <si>
    <t>ORD-1013</t>
  </si>
  <si>
    <t>ORD-1027</t>
  </si>
  <si>
    <t>ORD-1277</t>
  </si>
  <si>
    <t>ORD-1172</t>
  </si>
  <si>
    <t>ORD-1196</t>
  </si>
  <si>
    <t>ORD-1255</t>
  </si>
  <si>
    <t>ORD-1054</t>
  </si>
  <si>
    <t>ORD-1284</t>
  </si>
  <si>
    <t>ORD-1295</t>
  </si>
  <si>
    <t>ORD-1199</t>
  </si>
  <si>
    <t>ORD-1209</t>
  </si>
  <si>
    <t>ORD-1320</t>
  </si>
  <si>
    <t>ORD-1118</t>
  </si>
  <si>
    <t>ORD-1189</t>
  </si>
  <si>
    <t>ORD-1195</t>
  </si>
  <si>
    <t>ORD-1285</t>
  </si>
  <si>
    <t>ORD-1143</t>
  </si>
  <si>
    <t>ORD-1262</t>
  </si>
  <si>
    <t>ORD-1278</t>
  </si>
  <si>
    <t>ORD-1023</t>
  </si>
  <si>
    <t>ORD-1158</t>
  </si>
  <si>
    <t>ORD-1163</t>
  </si>
  <si>
    <t>ORD-1206</t>
  </si>
  <si>
    <t>ORD-1036</t>
  </si>
  <si>
    <t>ORD-1287</t>
  </si>
  <si>
    <t>ORD-1065</t>
  </si>
  <si>
    <t>ORD-1159</t>
  </si>
  <si>
    <t>ORD-1252</t>
  </si>
  <si>
    <t>ORD-1289</t>
  </si>
  <si>
    <t>ORD-1033</t>
  </si>
  <si>
    <t>ORD-1069</t>
  </si>
  <si>
    <t>ORD-1222</t>
  </si>
  <si>
    <t>ORD-1190</t>
  </si>
  <si>
    <t>ORD-1068</t>
  </si>
  <si>
    <t>ORD-1268</t>
  </si>
  <si>
    <t>ORD-1304</t>
  </si>
  <si>
    <t>ORD-1046</t>
  </si>
  <si>
    <t>ORD-1257</t>
  </si>
  <si>
    <t>ORD-1314</t>
  </si>
  <si>
    <t>ORD-1030</t>
  </si>
  <si>
    <t>ORD-1157</t>
  </si>
  <si>
    <t>ORD-1104</t>
  </si>
  <si>
    <t>ORD-1117</t>
  </si>
  <si>
    <t>ORD-1121</t>
  </si>
  <si>
    <t>ORD-1201</t>
  </si>
  <si>
    <t>ORD-1132</t>
  </si>
  <si>
    <t>ORD-1214</t>
  </si>
  <si>
    <t>ORD-1024</t>
  </si>
  <si>
    <t>ORD-1032</t>
  </si>
  <si>
    <t>ORD-1008</t>
  </si>
  <si>
    <t>ORD-1058</t>
  </si>
  <si>
    <t>ORD-1136</t>
  </si>
  <si>
    <t>ORD-1230</t>
  </si>
  <si>
    <t>ORD-1011</t>
  </si>
  <si>
    <t>ORD-1140</t>
  </si>
  <si>
    <t>ORD-1174</t>
  </si>
  <si>
    <t>ORD-1179</t>
  </si>
  <si>
    <t>ORD-1211</t>
  </si>
  <si>
    <t>ORD-1275</t>
  </si>
  <si>
    <t>ORD-1009</t>
  </si>
  <si>
    <t>ORD-1053</t>
  </si>
  <si>
    <t>ORD-1083</t>
  </si>
  <si>
    <t>ORD-1160</t>
  </si>
  <si>
    <t>ORD-1152</t>
  </si>
  <si>
    <t>ORD-1164</t>
  </si>
  <si>
    <t>ORD-1207</t>
  </si>
  <si>
    <t>ORD-1242</t>
  </si>
  <si>
    <t>ORD-1269</t>
  </si>
  <si>
    <t>ORD-1282</t>
  </si>
  <si>
    <t>ORD-1019</t>
  </si>
  <si>
    <t>ORD-1017</t>
  </si>
  <si>
    <t>ORD-1217</t>
  </si>
  <si>
    <t>ORD-1258</t>
  </si>
  <si>
    <t>ORD-1035</t>
  </si>
  <si>
    <t>ORD-1167</t>
  </si>
  <si>
    <t>ORD-1061</t>
  </si>
  <si>
    <t>ORD-1191</t>
  </si>
  <si>
    <t>ORD-1044</t>
  </si>
  <si>
    <t>ORD-1221</t>
  </si>
  <si>
    <t>ORD-1309</t>
  </si>
  <si>
    <t>ORD-1283</t>
  </si>
  <si>
    <t>ORD-1171</t>
  </si>
  <si>
    <t>ORD-1051</t>
  </si>
  <si>
    <t>ORD-1139</t>
  </si>
  <si>
    <t>ORD-1150</t>
  </si>
  <si>
    <t>ORD-1225</t>
  </si>
  <si>
    <t>ORD-1317</t>
  </si>
  <si>
    <t>ORD-1082</t>
  </si>
  <si>
    <t>ORD-1260</t>
  </si>
  <si>
    <t>ORD-1105</t>
  </si>
  <si>
    <t>ORD-1194</t>
  </si>
  <si>
    <t>ORD-1233</t>
  </si>
  <si>
    <t>ORD-1244</t>
  </si>
  <si>
    <t>ORD-1031</t>
  </si>
  <si>
    <t>ORD-1170</t>
  </si>
  <si>
    <t>ORD-1133</t>
  </si>
  <si>
    <t>ORD-1210</t>
  </si>
  <si>
    <t>ORD-1045</t>
  </si>
  <si>
    <t>ORD-1052</t>
  </si>
  <si>
    <t>ORD-1280</t>
  </si>
  <si>
    <t>ORD-1063</t>
  </si>
  <si>
    <t>ORD-1124</t>
  </si>
  <si>
    <t>ORD-1178</t>
  </si>
  <si>
    <t>ORD-1279</t>
  </si>
  <si>
    <t>ORD-1037</t>
  </si>
  <si>
    <t>ORD-1048</t>
  </si>
  <si>
    <t>ORD-1291</t>
  </si>
  <si>
    <t>ORD-1097</t>
  </si>
  <si>
    <t>ORD-1208</t>
  </si>
  <si>
    <t>ORD-1274</t>
  </si>
  <si>
    <t>ORD-1232</t>
  </si>
  <si>
    <t>ORD-1059</t>
  </si>
  <si>
    <t>ORD-1219</t>
  </si>
  <si>
    <t>ORD-1306</t>
  </si>
  <si>
    <t>ORD-1070</t>
  </si>
  <si>
    <t>ORD-1072</t>
  </si>
  <si>
    <t>ORD-1130</t>
  </si>
  <si>
    <t>ORD-1141</t>
  </si>
  <si>
    <t>ORD-1153</t>
  </si>
  <si>
    <t>ORD-1021</t>
  </si>
  <si>
    <t>ORD-1161</t>
  </si>
  <si>
    <t>ORD-1096</t>
  </si>
  <si>
    <t>ORD-1126</t>
  </si>
  <si>
    <t>ORD-1147</t>
  </si>
  <si>
    <t>ORD-1215</t>
  </si>
  <si>
    <t>ORD-1253</t>
  </si>
  <si>
    <t>ORD-1318</t>
  </si>
  <si>
    <t>ORD-1122</t>
  </si>
  <si>
    <t>ORD-1080</t>
  </si>
  <si>
    <t>ORD-1129</t>
  </si>
  <si>
    <t>ORD-1078</t>
  </si>
  <si>
    <t>ORD-1162</t>
  </si>
  <si>
    <t>ORD-1227</t>
  </si>
  <si>
    <t>ORD-1231</t>
  </si>
  <si>
    <t>ORD-1165</t>
  </si>
  <si>
    <t>ORD-1212</t>
  </si>
  <si>
    <t>ORD-1047</t>
  </si>
  <si>
    <t>ORD-1193</t>
  </si>
  <si>
    <t>ORD-1251</t>
  </si>
  <si>
    <t>ORD-1056</t>
  </si>
  <si>
    <t>ORD-1020</t>
  </si>
  <si>
    <t>ORD-1101</t>
  </si>
  <si>
    <t>ORD-1109</t>
  </si>
  <si>
    <t>ORD-1120</t>
  </si>
  <si>
    <t>ORD-1175</t>
  </si>
  <si>
    <t>ORD-1237</t>
  </si>
  <si>
    <t>ORD-1155</t>
  </si>
  <si>
    <t>ORD-1200</t>
  </si>
  <si>
    <t>ORD-1241</t>
  </si>
  <si>
    <t>ORD-1316</t>
  </si>
  <si>
    <t>ORD-1144</t>
  </si>
  <si>
    <t>ORD-1247</t>
  </si>
  <si>
    <t>ORD-1271</t>
  </si>
  <si>
    <t>ORD-1183</t>
  </si>
  <si>
    <t>ORD-1229</t>
  </si>
  <si>
    <t>ORD-1246</t>
  </si>
  <si>
    <t>ORD-1022</t>
  </si>
  <si>
    <t>ORD-1049</t>
  </si>
  <si>
    <t>ORD-1095</t>
  </si>
  <si>
    <t>ORD-1281</t>
  </si>
  <si>
    <t>ORD-1107</t>
  </si>
  <si>
    <t>ORD-1184</t>
  </si>
  <si>
    <t>ORD-1116</t>
  </si>
  <si>
    <t>ORD-1050</t>
  </si>
  <si>
    <t>ORD-1102</t>
  </si>
  <si>
    <t>ORD-1296</t>
  </si>
  <si>
    <t>ORD-1113</t>
  </si>
  <si>
    <t>ORD-1288</t>
  </si>
  <si>
    <t>ORD-1276</t>
  </si>
  <si>
    <t>ORD-1089</t>
  </si>
  <si>
    <t>ORD-1319</t>
  </si>
  <si>
    <t>ORD-1138</t>
  </si>
  <si>
    <t>ORD-1303</t>
  </si>
  <si>
    <t>ORD-1114</t>
  </si>
  <si>
    <t>ORD-1294</t>
  </si>
  <si>
    <t>ORD-1064</t>
  </si>
  <si>
    <t>ORD-1263</t>
  </si>
  <si>
    <t>ORD-1098</t>
  </si>
  <si>
    <t>ORD-1112</t>
  </si>
  <si>
    <t>ORD-1300</t>
  </si>
  <si>
    <t>ORD-1302</t>
  </si>
  <si>
    <t>ORD-1110</t>
  </si>
  <si>
    <t>ORD-1149</t>
  </si>
  <si>
    <t>ORD-1166</t>
  </si>
  <si>
    <t>ORD-1198</t>
  </si>
  <si>
    <t>ORD-1197</t>
  </si>
  <si>
    <t>ORD-1091</t>
  </si>
  <si>
    <t>ORD-1135</t>
  </si>
  <si>
    <t>ORD-1154</t>
  </si>
  <si>
    <t>ORD-1076</t>
  </si>
  <si>
    <t>ORD-1137</t>
  </si>
  <si>
    <t>ORD-1234</t>
  </si>
  <si>
    <t>ORD-1034</t>
  </si>
  <si>
    <t>ORD-1088</t>
  </si>
  <si>
    <t>ORD-1261</t>
  </si>
  <si>
    <t>ORD-1286</t>
  </si>
  <si>
    <t>ORD-1006</t>
  </si>
  <si>
    <t>ORD-1092</t>
  </si>
  <si>
    <t>ORD-1223</t>
  </si>
  <si>
    <t>ORD-1057</t>
  </si>
  <si>
    <t>ORD-1308</t>
  </si>
  <si>
    <t>ORD-1311</t>
  </si>
  <si>
    <t>ORD-1315</t>
  </si>
  <si>
    <t>ORD-1002</t>
  </si>
  <si>
    <t>ORD-1075</t>
  </si>
  <si>
    <t>ORD-1128</t>
  </si>
  <si>
    <t>ORD-1005</t>
  </si>
  <si>
    <t>ORD-1173</t>
  </si>
  <si>
    <t>ORD-1220</t>
  </si>
  <si>
    <t>NorthStar Retail Co. — Regional Sales Performance Tracker</t>
  </si>
  <si>
    <t>STEP 1 — Filters (select from dropdowns)</t>
  </si>
  <si>
    <t>Region:</t>
  </si>
  <si>
    <t>LEGEND</t>
  </si>
  <si>
    <t>Sales Rep:</t>
  </si>
  <si>
    <t>Yellow = input cell (dropdown or number you set)</t>
  </si>
  <si>
    <t>Product Category:</t>
  </si>
  <si>
    <t>Orange 'TO DO' = formula you must write</t>
  </si>
  <si>
    <t>Order Month:</t>
  </si>
  <si>
    <t>Light blue = KPI label (already built)</t>
  </si>
  <si>
    <t>Order Status:</t>
  </si>
  <si>
    <t>Customer Type:</t>
  </si>
  <si>
    <t>TIP: hover any orange cell for a hint (cell comment).</t>
  </si>
  <si>
    <t>Monthly Sales Target ($):</t>
  </si>
  <si>
    <t xml:space="preserve">   (yellow cells = your inputs; blue text = editable)</t>
  </si>
  <si>
    <t>STEP 2 — KPI Summary (build the formulas)</t>
  </si>
  <si>
    <t>Total Sales Amount ($)</t>
  </si>
  <si>
    <t>Total Units Sold</t>
  </si>
  <si>
    <t>Average Order Value ($)</t>
  </si>
  <si>
    <t>Total Discount Given ($)</t>
  </si>
  <si>
    <t>Target Achievement %</t>
  </si>
  <si>
    <t>STEP 3 — Order Status Breakdown (still respects all filters)</t>
  </si>
  <si>
    <t>Order Count</t>
  </si>
  <si>
    <t>STRETCH GOAL (optional): Best-selling Product Category by Sales Amount under current filters</t>
  </si>
  <si>
    <t>Top Category:</t>
  </si>
  <si>
    <t>TO DO (optional)</t>
  </si>
  <si>
    <t>ANSWER KEY — Instructor Reference Only (this sheet is hidden by default)</t>
  </si>
  <si>
    <t>Unhide this sheet (right-click any tab &gt; Unhide) to check student work, or before distributing remove it entirely so students cannot see the solution.</t>
  </si>
  <si>
    <t>Filters (same as Tracker sheet)</t>
  </si>
  <si>
    <t>KPI Summary — SOLVED</t>
  </si>
  <si>
    <t>Total Orders</t>
  </si>
  <si>
    <t>Order Status Breakdown — SOLVED</t>
  </si>
  <si>
    <t>Top Category (Stretch):</t>
  </si>
  <si>
    <t>Helper (category sales under current filters):</t>
  </si>
  <si>
    <t>Koushik Bhakat</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</si>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</sst>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
    <numFmt numFmtId="165" formatCode="\$#,##0.00"/>
    <numFmt numFmtId="166" formatCode="\$#,##0"/>
    <numFmt numFmtId="167" formatCode="0.0%"/>
  </numFmts>
  <fonts count="17" x14ac:knownFonts="1">
    <font>
      <sz val="11"/>
      <color theme="1"/>
      <name val="Calibri"/>
      <family val="2"/>
      <charset val="1"/>
    </font>
    <font>
      <sz val="10"/>
      <name val="Arial"/>
    </font>
    <font>
      <b/>
      <sz val="16"/>
      <color rgb="FF1F4E78"/>
      <name val="Arial"/>
      <charset val="1"/>
    </font>
    <font>
      <b/>
      <sz val="12"/>
      <color rgb="FFFFFFFF"/>
      <name val="Arial"/>
      <charset val="1"/>
    </font>
    <font>
      <sz val="10"/>
      <name val="Arial"/>
      <charset val="1"/>
    </font>
    <font>
      <b/>
      <sz val="10"/>
      <color rgb="FFFFFFFF"/>
      <name val="Arial"/>
      <charset val="1"/>
    </font>
    <font>
      <i/>
      <sz val="9"/>
      <color rgb="FF808080"/>
      <name val="Arial"/>
      <charset val="1"/>
    </font>
    <font>
      <b/>
      <sz val="12"/>
      <color rgb="FF1F4E78"/>
      <name val="Arial"/>
      <charset val="1"/>
    </font>
    <font>
      <b/>
      <sz val="16"/>
      <color rgb="FFFFFFFF"/>
      <name val="Arial"/>
      <charset val="1"/>
    </font>
    <font>
      <b/>
      <sz val="10"/>
      <name val="Arial"/>
      <charset val="1"/>
    </font>
    <font>
      <b/>
      <sz val="10"/>
      <color rgb="FF1F4E78"/>
      <name val="Arial"/>
      <charset val="1"/>
    </font>
    <font>
      <sz val="9"/>
      <name val="Arial"/>
      <charset val="1"/>
    </font>
    <font>
      <i/>
      <sz val="8"/>
      <color rgb="FF808080"/>
      <name val="Arial"/>
      <charset val="1"/>
    </font>
    <font>
      <b/>
      <i/>
      <sz val="10"/>
      <color rgb="FF808080"/>
      <name val="Arial"/>
      <charset val="1"/>
    </font>
    <font>
      <i/>
      <sz val="9"/>
      <color rgb="FFA6A6A6"/>
      <name val="Arial"/>
      <charset val="1"/>
    </font>
    <font>
      <sz val="10"/>
      <name val="Arial"/>
      <family val="2"/>
    </font>
    <font>
      <i/>
      <sz val="10"/>
      <color theme="1"/>
      <name val="Arial"/>
      <family val="2"/>
    </font>
  </fonts>
  <fills count="12">
    <fill>
      <patternFill patternType="none"/>
    </fill>
    <fill>
      <patternFill patternType="gray125"/>
    </fill>
    <fill>
      <patternFill patternType="solid">
        <fgColor rgb="FF2E75B6"/>
        <bgColor rgb="FF305496"/>
      </patternFill>
    </fill>
    <fill>
      <patternFill patternType="solid">
        <fgColor rgb="FF305496"/>
        <bgColor rgb="FF1F4E78"/>
      </patternFill>
    </fill>
    <fill>
      <patternFill patternType="solid">
        <fgColor rgb="FFF2F2F2"/>
        <bgColor rgb="FFFFFFFF"/>
      </patternFill>
    </fill>
    <fill>
      <patternFill patternType="solid">
        <fgColor rgb="FF1F4E78"/>
        <bgColor rgb="FF305496"/>
      </patternFill>
    </fill>
    <fill>
      <patternFill patternType="solid">
        <fgColor rgb="FFFFF2CC"/>
        <bgColor rgb="FFFCE4D6"/>
      </patternFill>
    </fill>
    <fill>
      <patternFill patternType="solid">
        <fgColor rgb="FFFCE4D6"/>
        <bgColor rgb="FFFFF2CC"/>
      </patternFill>
    </fill>
    <fill>
      <patternFill patternType="solid">
        <fgColor rgb="FFD9E1F2"/>
        <bgColor rgb="FFF2F2F2"/>
      </patternFill>
    </fill>
    <fill>
      <patternFill patternType="solid">
        <fgColor rgb="FFC00000"/>
        <bgColor rgb="FF800000"/>
      </patternFill>
    </fill>
    <fill>
      <patternFill patternType="solid">
        <fgColor rgb="FF833C0C"/>
        <bgColor rgb="FF993366"/>
      </patternFill>
    </fill>
    <fill>
      <patternFill patternType="solid">
        <fgColor theme="0" tint="-4.9989318521683403E-2"/>
        <bgColor rgb="FFFFF2CC"/>
      </patternFill>
    </fill>
  </fills>
  <borders count="12">
    <border>
      <left/>
      <right/>
      <top/>
      <bottom/>
      <diagonal/>
    </border>
    <border>
      <left style="thin">
        <color rgb="FFB7B7B7"/>
      </left>
      <right style="thin">
        <color rgb="FFB7B7B7"/>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right style="thin">
        <color rgb="FFB7B7B7"/>
      </right>
      <top/>
      <bottom style="thin">
        <color rgb="FFB7B7B7"/>
      </bottom>
      <diagonal/>
    </border>
    <border>
      <left style="thin">
        <color rgb="FFB7B7B7"/>
      </left>
      <right style="thin">
        <color rgb="FFB7B7B7"/>
      </right>
      <top/>
      <bottom style="thin">
        <color rgb="FFB7B7B7"/>
      </bottom>
      <diagonal/>
    </border>
    <border>
      <left style="thin">
        <color rgb="FFB7B7B7"/>
      </left>
      <right/>
      <top/>
      <bottom style="thin">
        <color rgb="FFB7B7B7"/>
      </bottom>
      <diagonal/>
    </border>
    <border>
      <left/>
      <right style="thin">
        <color rgb="FFB7B7B7"/>
      </right>
      <top style="thin">
        <color rgb="FFB7B7B7"/>
      </top>
      <bottom/>
      <diagonal/>
    </border>
    <border>
      <left style="thin">
        <color rgb="FFB7B7B7"/>
      </left>
      <right style="thin">
        <color rgb="FFB7B7B7"/>
      </right>
      <top style="thin">
        <color rgb="FFB7B7B7"/>
      </top>
      <bottom/>
      <diagonal/>
    </border>
    <border>
      <left style="thin">
        <color rgb="FFB7B7B7"/>
      </left>
      <right/>
      <top style="thin">
        <color rgb="FFB7B7B7"/>
      </top>
      <bottom/>
      <diagonal/>
    </border>
    <border>
      <left style="thin">
        <color theme="4"/>
      </left>
      <right style="thin">
        <color theme="4"/>
      </right>
      <top style="thin">
        <color theme="4"/>
      </top>
      <bottom/>
      <diagonal/>
    </border>
    <border>
      <left style="thin">
        <color theme="4"/>
      </left>
      <right style="thin">
        <color theme="4"/>
      </right>
      <top style="thin">
        <color theme="4"/>
      </top>
      <bottom style="thin">
        <color theme="4"/>
      </bottom>
      <diagonal/>
    </border>
  </borders>
  <cellStyleXfs count="2">
    <xf numFmtId="0" fontId="0" fillId="0" borderId="0"/>
    <xf numFmtId="9" fontId="1" fillId="0" borderId="0" applyBorder="0" applyAlignment="0" applyProtection="0"/>
  </cellStyleXfs>
  <cellXfs count="60">
    <xf numFmtId="0" fontId="0" fillId="0" borderId="0" xfId="0"/>
    <xf numFmtId="0" fontId="6" fillId="0" borderId="0" xfId="0" applyFont="1"/>
    <xf numFmtId="0" fontId="3" fillId="2" borderId="0" xfId="0" applyFont="1" applyFill="1"/>
    <xf numFmtId="0" fontId="2" fillId="0" borderId="0" xfId="0" applyFont="1"/>
    <xf numFmtId="0" fontId="4" fillId="0" borderId="0" xfId="0" applyFont="1" applyAlignment="1">
      <alignment vertical="top" wrapText="1"/>
    </xf>
    <xf numFmtId="0" fontId="4" fillId="0" borderId="0" xfId="0" applyFont="1"/>
    <xf numFmtId="0" fontId="5" fillId="3" borderId="0" xfId="0" applyFont="1" applyFill="1" applyAlignment="1">
      <alignment horizontal="center"/>
    </xf>
    <xf numFmtId="0" fontId="5" fillId="3" borderId="1" xfId="0" applyFont="1" applyFill="1" applyBorder="1" applyAlignment="1">
      <alignment horizontal="center" vertical="center" wrapText="1"/>
    </xf>
    <xf numFmtId="0" fontId="4" fillId="0" borderId="1" xfId="0" applyFont="1" applyBorder="1"/>
    <xf numFmtId="164" fontId="4" fillId="0" borderId="1" xfId="0" applyNumberFormat="1" applyFont="1" applyBorder="1" applyAlignment="1">
      <alignment horizontal="center"/>
    </xf>
    <xf numFmtId="0" fontId="4" fillId="0" borderId="1" xfId="0" applyFont="1" applyBorder="1" applyAlignment="1">
      <alignment horizontal="center"/>
    </xf>
    <xf numFmtId="165" fontId="4" fillId="0" borderId="1" xfId="0" applyNumberFormat="1" applyFont="1" applyBorder="1" applyAlignment="1">
      <alignment horizontal="center"/>
    </xf>
    <xf numFmtId="9" fontId="4" fillId="0" borderId="1" xfId="0" applyNumberFormat="1" applyFont="1" applyBorder="1" applyAlignment="1">
      <alignment horizontal="center"/>
    </xf>
    <xf numFmtId="0" fontId="4" fillId="4" borderId="1" xfId="0" applyFont="1" applyFill="1" applyBorder="1"/>
    <xf numFmtId="164" fontId="4" fillId="4" borderId="1" xfId="0" applyNumberFormat="1" applyFont="1" applyFill="1" applyBorder="1" applyAlignment="1">
      <alignment horizontal="center"/>
    </xf>
    <xf numFmtId="0" fontId="4" fillId="4" borderId="1" xfId="0" applyFont="1" applyFill="1" applyBorder="1" applyAlignment="1">
      <alignment horizontal="center"/>
    </xf>
    <xf numFmtId="165" fontId="4" fillId="4" borderId="1" xfId="0" applyNumberFormat="1" applyFont="1" applyFill="1" applyBorder="1" applyAlignment="1">
      <alignment horizontal="center"/>
    </xf>
    <xf numFmtId="9" fontId="4" fillId="4" borderId="1" xfId="0" applyNumberFormat="1" applyFont="1" applyFill="1" applyBorder="1" applyAlignment="1">
      <alignment horizontal="center"/>
    </xf>
    <xf numFmtId="0" fontId="9" fillId="0" borderId="0" xfId="0" applyFont="1"/>
    <xf numFmtId="0" fontId="10" fillId="6" borderId="1" xfId="0" applyFont="1" applyFill="1" applyBorder="1" applyAlignment="1">
      <alignment horizontal="center"/>
    </xf>
    <xf numFmtId="0" fontId="0" fillId="6" borderId="1" xfId="0" applyFill="1" applyBorder="1"/>
    <xf numFmtId="0" fontId="11" fillId="0" borderId="0" xfId="0" applyFont="1"/>
    <xf numFmtId="0" fontId="0" fillId="7" borderId="1" xfId="0" applyFill="1" applyBorder="1"/>
    <xf numFmtId="0" fontId="0" fillId="8" borderId="1" xfId="0" applyFill="1" applyBorder="1"/>
    <xf numFmtId="166" fontId="10" fillId="6" borderId="1" xfId="0" applyNumberFormat="1" applyFont="1" applyFill="1" applyBorder="1" applyAlignment="1">
      <alignment horizontal="center"/>
    </xf>
    <xf numFmtId="0" fontId="12" fillId="0" borderId="0" xfId="0" applyFont="1"/>
    <xf numFmtId="0" fontId="9" fillId="8" borderId="1" xfId="0" applyFont="1" applyFill="1" applyBorder="1"/>
    <xf numFmtId="0" fontId="14" fillId="4" borderId="1" xfId="0" applyFont="1" applyFill="1" applyBorder="1" applyAlignment="1">
      <alignment horizontal="center"/>
    </xf>
    <xf numFmtId="166" fontId="10" fillId="6" borderId="1" xfId="0" applyNumberFormat="1" applyFont="1" applyFill="1" applyBorder="1"/>
    <xf numFmtId="3" fontId="4" fillId="0" borderId="1" xfId="0" applyNumberFormat="1" applyFont="1" applyBorder="1" applyAlignment="1">
      <alignment horizontal="center"/>
    </xf>
    <xf numFmtId="166" fontId="4" fillId="0" borderId="1" xfId="0" applyNumberFormat="1" applyFont="1" applyBorder="1" applyAlignment="1">
      <alignment horizontal="center"/>
    </xf>
    <xf numFmtId="167" fontId="4" fillId="0" borderId="1" xfId="0" applyNumberFormat="1" applyFont="1" applyBorder="1" applyAlignment="1">
      <alignment horizontal="center"/>
    </xf>
    <xf numFmtId="0" fontId="5" fillId="3" borderId="0" xfId="0" applyFont="1" applyFill="1"/>
    <xf numFmtId="166" fontId="11" fillId="0" borderId="0" xfId="0" applyNumberFormat="1" applyFont="1"/>
    <xf numFmtId="0" fontId="4" fillId="0" borderId="2" xfId="0" applyFont="1" applyBorder="1"/>
    <xf numFmtId="0" fontId="4" fillId="4" borderId="2" xfId="0" applyFont="1" applyFill="1" applyBorder="1"/>
    <xf numFmtId="0" fontId="4" fillId="0" borderId="3" xfId="0" applyFont="1" applyBorder="1"/>
    <xf numFmtId="0" fontId="4" fillId="4" borderId="3" xfId="0" applyFont="1" applyFill="1" applyBorder="1"/>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4" fillId="4" borderId="7" xfId="0" applyFont="1" applyFill="1" applyBorder="1"/>
    <xf numFmtId="164" fontId="4" fillId="4" borderId="8" xfId="0" applyNumberFormat="1" applyFont="1" applyFill="1" applyBorder="1" applyAlignment="1">
      <alignment horizontal="center"/>
    </xf>
    <xf numFmtId="0" fontId="4" fillId="4" borderId="8" xfId="0" applyFont="1" applyFill="1" applyBorder="1"/>
    <xf numFmtId="0" fontId="4" fillId="4" borderId="8" xfId="0" applyFont="1" applyFill="1" applyBorder="1" applyAlignment="1">
      <alignment horizontal="center"/>
    </xf>
    <xf numFmtId="165" fontId="4" fillId="4" borderId="8" xfId="0" applyNumberFormat="1" applyFont="1" applyFill="1" applyBorder="1" applyAlignment="1">
      <alignment horizontal="center"/>
    </xf>
    <xf numFmtId="9" fontId="4" fillId="4" borderId="8" xfId="0" applyNumberFormat="1" applyFont="1" applyFill="1" applyBorder="1" applyAlignment="1">
      <alignment horizontal="center"/>
    </xf>
    <xf numFmtId="0" fontId="4" fillId="4" borderId="9" xfId="0" applyFont="1" applyFill="1" applyBorder="1"/>
    <xf numFmtId="9" fontId="1" fillId="0" borderId="1" xfId="1" applyBorder="1" applyAlignment="1">
      <alignment horizontal="center"/>
    </xf>
    <xf numFmtId="166" fontId="16" fillId="0" borderId="1" xfId="0" applyNumberFormat="1" applyFont="1" applyBorder="1" applyAlignment="1">
      <alignment horizontal="center"/>
    </xf>
    <xf numFmtId="0" fontId="8" fillId="5" borderId="0" xfId="0" applyFont="1" applyFill="1" applyAlignment="1">
      <alignment horizontal="left" vertical="center" indent="1"/>
    </xf>
    <xf numFmtId="0" fontId="3" fillId="2" borderId="0" xfId="0" applyFont="1" applyFill="1"/>
    <xf numFmtId="0" fontId="13" fillId="0" borderId="0" xfId="0" applyFont="1"/>
    <xf numFmtId="0" fontId="7" fillId="0" borderId="0" xfId="0" applyFont="1"/>
    <xf numFmtId="0" fontId="8" fillId="9" borderId="0" xfId="0" applyFont="1" applyFill="1"/>
    <xf numFmtId="0" fontId="6" fillId="0" borderId="0" xfId="0" applyFont="1"/>
    <xf numFmtId="0" fontId="3" fillId="10" borderId="0" xfId="0" applyFont="1" applyFill="1"/>
    <xf numFmtId="167" fontId="16" fillId="11" borderId="1" xfId="0" applyNumberFormat="1" applyFont="1" applyFill="1" applyBorder="1" applyAlignment="1">
      <alignment horizontal="center"/>
    </xf>
    <xf numFmtId="0" fontId="4" fillId="0" borderId="10" xfId="0" applyFont="1" applyBorder="1"/>
    <xf numFmtId="0" fontId="4" fillId="0" borderId="11" xfId="0" applyFont="1" applyBorder="1"/>
  </cellXfs>
  <cellStyles count="2">
    <cellStyle name="Normal" xfId="0" builtinId="0"/>
    <cellStyle name="Percent" xfId="1" builtinId="5"/>
  </cellStyles>
  <dxfs count="36">
    <dxf>
      <font>
        <b val="0"/>
        <i val="0"/>
        <strike val="0"/>
        <condense val="0"/>
        <extend val="0"/>
        <outline val="0"/>
        <shadow val="0"/>
        <u val="none"/>
        <vertAlign val="baseline"/>
        <sz val="10"/>
        <color auto="1"/>
        <name val="Arial"/>
        <charset val="1"/>
        <scheme val="none"/>
      </font>
      <fill>
        <patternFill patternType="solid">
          <fgColor rgb="FFFFFFFF"/>
          <bgColor rgb="FFF2F2F2"/>
        </patternFill>
      </fill>
      <border diagonalUp="0" diagonalDown="0">
        <left style="thin">
          <color rgb="FFB7B7B7"/>
        </left>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fill>
        <patternFill patternType="solid">
          <fgColor rgb="FFFFFFFF"/>
          <bgColor rgb="FFF2F2F2"/>
        </patternFill>
      </fill>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fill>
        <patternFill patternType="solid">
          <fgColor rgb="FFFFFFFF"/>
          <bgColor rgb="FFF2F2F2"/>
        </patternFill>
      </fill>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numFmt numFmtId="165" formatCode="\$#,##0.00"/>
      <fill>
        <patternFill patternType="solid">
          <fgColor rgb="FFFFFFFF"/>
          <bgColor rgb="FFF2F2F2"/>
        </patternFill>
      </fill>
      <alignment horizontal="center"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numFmt numFmtId="13" formatCode="0%"/>
      <fill>
        <patternFill patternType="solid">
          <fgColor rgb="FFFFFFFF"/>
          <bgColor rgb="FFF2F2F2"/>
        </patternFill>
      </fill>
      <alignment horizontal="center"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numFmt numFmtId="165" formatCode="\$#,##0.00"/>
      <fill>
        <patternFill patternType="solid">
          <fgColor rgb="FFFFFFFF"/>
          <bgColor rgb="FFF2F2F2"/>
        </patternFill>
      </fill>
      <alignment horizontal="center"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fill>
        <patternFill patternType="solid">
          <fgColor rgb="FFFFFFFF"/>
          <bgColor rgb="FFF2F2F2"/>
        </patternFill>
      </fill>
      <alignment horizontal="center"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fill>
        <patternFill patternType="solid">
          <fgColor rgb="FFFFFFFF"/>
          <bgColor rgb="FFF2F2F2"/>
        </patternFill>
      </fill>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fill>
        <patternFill patternType="solid">
          <fgColor rgb="FFFFFFFF"/>
          <bgColor rgb="FFF2F2F2"/>
        </patternFill>
      </fill>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fill>
        <patternFill patternType="solid">
          <fgColor rgb="FFFFFFFF"/>
          <bgColor rgb="FFF2F2F2"/>
        </patternFill>
      </fill>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fill>
        <patternFill patternType="solid">
          <fgColor rgb="FFFFFFFF"/>
          <bgColor rgb="FFF2F2F2"/>
        </patternFill>
      </fill>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fill>
        <patternFill patternType="solid">
          <fgColor rgb="FFFFFFFF"/>
          <bgColor rgb="FFF2F2F2"/>
        </patternFill>
      </fill>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numFmt numFmtId="164" formatCode="dd\-mmm\-yy"/>
      <fill>
        <patternFill patternType="solid">
          <fgColor rgb="FFFFFFFF"/>
          <bgColor rgb="FFF2F2F2"/>
        </patternFill>
      </fill>
      <alignment horizontal="center"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charset val="1"/>
        <scheme val="none"/>
      </font>
      <fill>
        <patternFill patternType="solid">
          <fgColor rgb="FFFFFFFF"/>
          <bgColor rgb="FFF2F2F2"/>
        </patternFill>
      </fill>
      <border diagonalUp="0" diagonalDown="0">
        <left/>
        <right style="thin">
          <color rgb="FFB7B7B7"/>
        </right>
        <top style="thin">
          <color rgb="FFB7B7B7"/>
        </top>
        <bottom style="thin">
          <color rgb="FFB7B7B7"/>
        </bottom>
        <vertical/>
        <horizontal/>
      </border>
    </dxf>
    <dxf>
      <border outline="0">
        <top style="thin">
          <color rgb="FFB7B7B7"/>
        </top>
      </border>
    </dxf>
    <dxf>
      <border outline="0">
        <left style="thin">
          <color rgb="FFB7B7B7"/>
        </left>
        <right style="thin">
          <color rgb="FFB7B7B7"/>
        </right>
        <top style="thin">
          <color rgb="FFB7B7B7"/>
        </top>
        <bottom style="thin">
          <color rgb="FFB7B7B7"/>
        </bottom>
      </border>
    </dxf>
    <dxf>
      <border outline="0">
        <bottom style="thin">
          <color rgb="FFB7B7B7"/>
        </bottom>
      </border>
    </dxf>
    <dxf>
      <font>
        <b/>
        <i val="0"/>
        <strike val="0"/>
        <condense val="0"/>
        <extend val="0"/>
        <outline val="0"/>
        <shadow val="0"/>
        <u val="none"/>
        <vertAlign val="baseline"/>
        <sz val="10"/>
        <color rgb="FFFFFFFF"/>
        <name val="Arial"/>
        <charset val="1"/>
        <scheme val="none"/>
      </font>
      <fill>
        <patternFill patternType="solid">
          <fgColor rgb="FF1F4E78"/>
          <bgColor rgb="FF305496"/>
        </patternFill>
      </fill>
      <alignment horizontal="center" vertical="center" textRotation="0" wrapText="1" indent="0" justifyLastLine="0" shrinkToFit="0" readingOrder="0"/>
      <border diagonalUp="0" diagonalDown="0" outline="0">
        <left style="thin">
          <color rgb="FFB7B7B7"/>
        </left>
        <right style="thin">
          <color rgb="FFB7B7B7"/>
        </right>
        <top/>
        <bottom/>
      </border>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i val="0"/>
        <strike val="0"/>
        <condense val="0"/>
        <extend val="0"/>
        <outline val="0"/>
        <shadow val="0"/>
        <u val="none"/>
        <vertAlign val="baseline"/>
        <sz val="10"/>
        <color rgb="FFFFFFFF"/>
        <name val="Arial"/>
        <charset val="1"/>
        <scheme val="none"/>
      </font>
      <fill>
        <patternFill patternType="solid">
          <fgColor rgb="FF1F4E78"/>
          <bgColor rgb="FF305496"/>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i val="0"/>
        <strike val="0"/>
        <condense val="0"/>
        <extend val="0"/>
        <outline val="0"/>
        <shadow val="0"/>
        <u val="none"/>
        <vertAlign val="baseline"/>
        <sz val="10"/>
        <color rgb="FFFFFFFF"/>
        <name val="Arial"/>
        <charset val="1"/>
        <scheme val="none"/>
      </font>
      <fill>
        <patternFill patternType="solid">
          <fgColor rgb="FF1F4E78"/>
          <bgColor rgb="FF305496"/>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i val="0"/>
        <strike val="0"/>
        <condense val="0"/>
        <extend val="0"/>
        <outline val="0"/>
        <shadow val="0"/>
        <u val="none"/>
        <vertAlign val="baseline"/>
        <sz val="10"/>
        <color rgb="FFFFFFFF"/>
        <name val="Arial"/>
        <charset val="1"/>
        <scheme val="none"/>
      </font>
      <fill>
        <patternFill patternType="solid">
          <fgColor rgb="FF1F4E78"/>
          <bgColor rgb="FF305496"/>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i val="0"/>
        <strike val="0"/>
        <condense val="0"/>
        <extend val="0"/>
        <outline val="0"/>
        <shadow val="0"/>
        <u val="none"/>
        <vertAlign val="baseline"/>
        <sz val="10"/>
        <color rgb="FFFFFFFF"/>
        <name val="Arial"/>
        <charset val="1"/>
        <scheme val="none"/>
      </font>
      <fill>
        <patternFill patternType="solid">
          <fgColor rgb="FF1F4E78"/>
          <bgColor rgb="FF305496"/>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i val="0"/>
        <strike val="0"/>
        <condense val="0"/>
        <extend val="0"/>
        <outline val="0"/>
        <shadow val="0"/>
        <u val="none"/>
        <vertAlign val="baseline"/>
        <sz val="10"/>
        <color rgb="FFFFFFFF"/>
        <name val="Arial"/>
        <charset val="1"/>
        <scheme val="none"/>
      </font>
      <fill>
        <patternFill patternType="solid">
          <fgColor rgb="FF1F4E78"/>
          <bgColor rgb="FF305496"/>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i val="0"/>
        <strike val="0"/>
        <condense val="0"/>
        <extend val="0"/>
        <outline val="0"/>
        <shadow val="0"/>
        <u val="none"/>
        <vertAlign val="baseline"/>
        <sz val="10"/>
        <color rgb="FFFFFFFF"/>
        <name val="Arial"/>
        <charset val="1"/>
        <scheme val="none"/>
      </font>
      <fill>
        <patternFill patternType="solid">
          <fgColor rgb="FF1F4E78"/>
          <bgColor rgb="FF305496"/>
        </patternFill>
      </fill>
      <alignment horizontal="center" vertical="bottom" textRotation="0" wrapText="0" indent="0" justifyLastLine="0" shrinkToFit="0" readingOrder="0"/>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E75B6"/>
      <rgbColor rgb="FF33CCCC"/>
      <rgbColor rgb="FF99CC00"/>
      <rgbColor rgb="FFFFC000"/>
      <rgbColor rgb="FFFF9900"/>
      <rgbColor rgb="FFFF6600"/>
      <rgbColor rgb="FF666699"/>
      <rgbColor rgb="FFA6A6A6"/>
      <rgbColor rgb="FF1F4E78"/>
      <rgbColor rgb="FF70AD47"/>
      <rgbColor rgb="FF003300"/>
      <rgbColor rgb="FF333300"/>
      <rgbColor rgb="FF833C0C"/>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6D97DE-1E82-4EC2-9795-E96C5EA37F05}" name="Table20" displayName="Table20" ref="A1:A6" totalsRowShown="0" headerRowDxfId="35" dataDxfId="34">
  <autoFilter ref="A1:A6" xr:uid="{C56D97DE-1E82-4EC2-9795-E96C5EA37F05}"/>
  <tableColumns count="1">
    <tableColumn id="1" xr3:uid="{B8A92B9B-3BC9-48DA-AD43-D5A3635AEB13}" name="Region" dataDxfId="3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4732CF-A151-4219-B3A8-1F9BAFCDC07E}" name="Table2" displayName="Table2" ref="B1:B11" totalsRowShown="0" headerRowDxfId="32" dataDxfId="31">
  <autoFilter ref="B1:B11" xr:uid="{344732CF-A151-4219-B3A8-1F9BAFCDC07E}"/>
  <tableColumns count="1">
    <tableColumn id="1" xr3:uid="{8682AD85-5853-4FF6-8245-E6F3E1AE68E6}" name="Sales Rep" dataDxfId="30"/>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B96E0F3-6C03-4F12-9D0F-AD8C9BAB0FE3}" name="Table3" displayName="Table3" ref="C1:C7" totalsRowShown="0" headerRowDxfId="29" dataDxfId="28">
  <autoFilter ref="C1:C7" xr:uid="{0B96E0F3-6C03-4F12-9D0F-AD8C9BAB0FE3}"/>
  <tableColumns count="1">
    <tableColumn id="1" xr3:uid="{7B2DE70C-1B8D-4625-9BF8-7251769C0D87}" name="Product Category" dataDxfId="27"/>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3BFE5AD-706F-426B-BA3B-BA3A52072A12}" name="Table4" displayName="Table4" ref="D1:D8" totalsRowShown="0" headerRowDxfId="26" dataDxfId="25">
  <autoFilter ref="D1:D8" xr:uid="{A3BFE5AD-706F-426B-BA3B-BA3A52072A12}"/>
  <tableColumns count="1">
    <tableColumn id="1" xr3:uid="{F1979DFA-C15C-46D2-8E24-AD51963335F7}" name="Order Month" dataDxfId="24"/>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F15F47-EFE0-4BAA-AA59-97D607895686}" name="Table5" displayName="Table5" ref="E1:E6" totalsRowShown="0" headerRowDxfId="23" dataDxfId="22">
  <autoFilter ref="E1:E6" xr:uid="{BAF15F47-EFE0-4BAA-AA59-97D607895686}"/>
  <tableColumns count="1">
    <tableColumn id="1" xr3:uid="{067B3BE4-48DF-4B46-A791-211B4D638ACA}" name="Order Status" dataDxfId="21"/>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F9B2B8C-36E2-40FB-A02F-FD9BC9AB9DF0}" name="Table6" displayName="Table6" ref="F1:F4" totalsRowShown="0" headerRowDxfId="20" dataDxfId="19">
  <autoFilter ref="F1:F4" xr:uid="{3F9B2B8C-36E2-40FB-A02F-FD9BC9AB9DF0}"/>
  <tableColumns count="1">
    <tableColumn id="1" xr3:uid="{FECBEE85-48D1-4E32-A322-12EDFD9EE7B9}" name="Customer Type" dataDxfId="18"/>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E4FDF27-4820-4373-968A-4FA40BBD84FD}" name="Prd" displayName="Prd" ref="A3:N323" totalsRowShown="0" headerRowDxfId="17" headerRowBorderDxfId="16" tableBorderDxfId="15" totalsRowBorderDxfId="14">
  <autoFilter ref="A3:N323" xr:uid="{00000000-0009-0000-0000-000002000000}"/>
  <tableColumns count="14">
    <tableColumn id="1" xr3:uid="{2A36B112-D9CD-4658-A973-50554EFC395F}" name="Order ID" dataDxfId="13"/>
    <tableColumn id="2" xr3:uid="{87CC1713-FF72-47D1-9C99-44940AC72820}" name="Order Date" dataDxfId="12"/>
    <tableColumn id="3" xr3:uid="{F152A329-2869-479F-B0BF-9BB9CEA51715}" name="Region" dataDxfId="11"/>
    <tableColumn id="4" xr3:uid="{F4CF3461-0CEE-4B1A-98B7-531C83ECFF00}" name="State" dataDxfId="10"/>
    <tableColumn id="5" xr3:uid="{DCE1299C-3E7A-4DE4-A770-E7C6281159F0}" name="Sales Rep" dataDxfId="9"/>
    <tableColumn id="6" xr3:uid="{060C14CA-1E56-4930-B8B7-68186EDB6935}" name="Product Category" dataDxfId="8"/>
    <tableColumn id="7" xr3:uid="{B0773368-5AA4-4DE2-B653-17EE688B3B7E}" name="Product Name" dataDxfId="7"/>
    <tableColumn id="8" xr3:uid="{E792208F-4F6F-4852-85EA-13332B1D09CC}" name="Units Sold" dataDxfId="6"/>
    <tableColumn id="9" xr3:uid="{04D423B6-EB89-430A-AE85-6127B9953E7F}" name="Unit Price ($)" dataDxfId="5"/>
    <tableColumn id="10" xr3:uid="{5558B5BE-A6D1-4BF9-A5DF-617D992C39FE}" name="Discount %" dataDxfId="4"/>
    <tableColumn id="11" xr3:uid="{3F75F426-8058-40E0-9713-FD09360CACBE}" name="Sales Amount ($)" dataDxfId="3">
      <calculatedColumnFormula>H4*I4*(1-J4)</calculatedColumnFormula>
    </tableColumn>
    <tableColumn id="12" xr3:uid="{B91834CC-7F52-45A4-9A12-CB03BAA95A29}" name="Order Status" dataDxfId="2"/>
    <tableColumn id="13" xr3:uid="{E2AAC385-1D8A-43CA-825A-8C50139D7FF0}" name="Customer Type" dataDxfId="1"/>
    <tableColumn id="14" xr3:uid="{FAE1FF00-286A-46B1-B466-58B3B7B27065}" name="Order Month" dataDxfId="0">
      <calculatedColumnFormula>TEXT(B4,"mmm-yy")</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B2:B54"/>
  <sheetViews>
    <sheetView showGridLines="0" zoomScaleNormal="100" workbookViewId="0"/>
  </sheetViews>
  <sheetFormatPr defaultColWidth="8.6328125" defaultRowHeight="14.5" x14ac:dyDescent="0.35"/>
  <cols>
    <col min="1" max="1" width="3" customWidth="1"/>
    <col min="2" max="2" width="110" customWidth="1"/>
  </cols>
  <sheetData>
    <row r="2" spans="2:2" ht="19.5" customHeight="1" x14ac:dyDescent="0.4">
      <c r="B2" s="3" t="s">
        <v>0</v>
      </c>
    </row>
    <row r="4" spans="2:2" ht="19.5" customHeight="1" x14ac:dyDescent="0.35">
      <c r="B4" s="2" t="s">
        <v>1</v>
      </c>
    </row>
    <row r="5" spans="2:2" ht="27.75" customHeight="1" x14ac:dyDescent="0.35">
      <c r="B5" s="4" t="s">
        <v>2</v>
      </c>
    </row>
    <row r="6" spans="2:2" ht="27.75" customHeight="1" x14ac:dyDescent="0.35">
      <c r="B6" s="4" t="s">
        <v>3</v>
      </c>
    </row>
    <row r="8" spans="2:2" ht="19.5" customHeight="1" x14ac:dyDescent="0.35">
      <c r="B8" s="2" t="s">
        <v>4</v>
      </c>
    </row>
    <row r="9" spans="2:2" ht="27.75" customHeight="1" x14ac:dyDescent="0.35">
      <c r="B9" s="4" t="s">
        <v>5</v>
      </c>
    </row>
    <row r="10" spans="2:2" ht="27.75" customHeight="1" x14ac:dyDescent="0.35">
      <c r="B10" s="4" t="s">
        <v>6</v>
      </c>
    </row>
    <row r="11" spans="2:2" ht="27.75" customHeight="1" x14ac:dyDescent="0.35">
      <c r="B11" s="4" t="s">
        <v>7</v>
      </c>
    </row>
    <row r="13" spans="2:2" ht="19.5" customHeight="1" x14ac:dyDescent="0.35">
      <c r="B13" s="2" t="s">
        <v>8</v>
      </c>
    </row>
    <row r="14" spans="2:2" ht="27.75" customHeight="1" x14ac:dyDescent="0.35">
      <c r="B14" s="4" t="s">
        <v>9</v>
      </c>
    </row>
    <row r="15" spans="2:2" ht="27.75" customHeight="1" x14ac:dyDescent="0.35">
      <c r="B15" s="4" t="s">
        <v>10</v>
      </c>
    </row>
    <row r="16" spans="2:2" ht="27.75" customHeight="1" x14ac:dyDescent="0.35">
      <c r="B16" s="4" t="s">
        <v>11</v>
      </c>
    </row>
    <row r="17" spans="2:2" ht="27.75" customHeight="1" x14ac:dyDescent="0.35">
      <c r="B17" s="4" t="s">
        <v>12</v>
      </c>
    </row>
    <row r="18" spans="2:2" ht="27.75" customHeight="1" x14ac:dyDescent="0.35">
      <c r="B18" s="4" t="s">
        <v>13</v>
      </c>
    </row>
    <row r="19" spans="2:2" ht="27.75" customHeight="1" x14ac:dyDescent="0.35">
      <c r="B19" s="4" t="s">
        <v>14</v>
      </c>
    </row>
    <row r="20" spans="2:2" ht="27.75" customHeight="1" x14ac:dyDescent="0.35">
      <c r="B20" s="4" t="s">
        <v>15</v>
      </c>
    </row>
    <row r="22" spans="2:2" ht="19.5" customHeight="1" x14ac:dyDescent="0.35">
      <c r="B22" s="2" t="s">
        <v>16</v>
      </c>
    </row>
    <row r="23" spans="2:2" ht="27.75" customHeight="1" x14ac:dyDescent="0.35">
      <c r="B23" s="4" t="s">
        <v>17</v>
      </c>
    </row>
    <row r="24" spans="2:2" ht="27.75" customHeight="1" x14ac:dyDescent="0.35">
      <c r="B24" s="4" t="s">
        <v>18</v>
      </c>
    </row>
    <row r="25" spans="2:2" ht="27.75" customHeight="1" x14ac:dyDescent="0.35">
      <c r="B25" s="4" t="s">
        <v>19</v>
      </c>
    </row>
    <row r="26" spans="2:2" ht="27.75" customHeight="1" x14ac:dyDescent="0.35">
      <c r="B26" s="4" t="s">
        <v>20</v>
      </c>
    </row>
    <row r="27" spans="2:2" ht="27.75" customHeight="1" x14ac:dyDescent="0.35">
      <c r="B27" s="4" t="s">
        <v>21</v>
      </c>
    </row>
    <row r="29" spans="2:2" ht="19.5" customHeight="1" x14ac:dyDescent="0.35">
      <c r="B29" s="2" t="s">
        <v>22</v>
      </c>
    </row>
    <row r="30" spans="2:2" ht="15.75" customHeight="1" x14ac:dyDescent="0.35">
      <c r="B30" s="5" t="s">
        <v>23</v>
      </c>
    </row>
    <row r="31" spans="2:2" ht="15.75" customHeight="1" x14ac:dyDescent="0.35">
      <c r="B31" s="5" t="s">
        <v>24</v>
      </c>
    </row>
    <row r="32" spans="2:2" ht="15.75" customHeight="1" x14ac:dyDescent="0.35">
      <c r="B32" s="5" t="s">
        <v>25</v>
      </c>
    </row>
    <row r="33" spans="2:2" ht="15.75" customHeight="1" x14ac:dyDescent="0.35">
      <c r="B33" s="5" t="s">
        <v>26</v>
      </c>
    </row>
    <row r="34" spans="2:2" ht="15.75" customHeight="1" x14ac:dyDescent="0.35">
      <c r="B34" s="5" t="s">
        <v>27</v>
      </c>
    </row>
    <row r="35" spans="2:2" ht="15.75" customHeight="1" x14ac:dyDescent="0.35">
      <c r="B35" s="5" t="s">
        <v>28</v>
      </c>
    </row>
    <row r="36" spans="2:2" ht="15.75" customHeight="1" x14ac:dyDescent="0.35">
      <c r="B36" s="5" t="s">
        <v>29</v>
      </c>
    </row>
    <row r="37" spans="2:2" ht="15.75" customHeight="1" x14ac:dyDescent="0.35">
      <c r="B37" s="5" t="s">
        <v>30</v>
      </c>
    </row>
    <row r="38" spans="2:2" ht="15.75" customHeight="1" x14ac:dyDescent="0.35">
      <c r="B38" s="5" t="s">
        <v>31</v>
      </c>
    </row>
    <row r="39" spans="2:2" ht="15.75" customHeight="1" x14ac:dyDescent="0.35">
      <c r="B39" s="5" t="s">
        <v>32</v>
      </c>
    </row>
    <row r="40" spans="2:2" ht="15.75" customHeight="1" x14ac:dyDescent="0.35">
      <c r="B40" s="5" t="s">
        <v>33</v>
      </c>
    </row>
    <row r="41" spans="2:2" ht="15.75" customHeight="1" x14ac:dyDescent="0.35">
      <c r="B41" s="5" t="s">
        <v>34</v>
      </c>
    </row>
    <row r="42" spans="2:2" ht="15.75" customHeight="1" x14ac:dyDescent="0.35">
      <c r="B42" s="5" t="s">
        <v>35</v>
      </c>
    </row>
    <row r="43" spans="2:2" ht="15.75" customHeight="1" x14ac:dyDescent="0.35">
      <c r="B43" s="5" t="s">
        <v>36</v>
      </c>
    </row>
    <row r="45" spans="2:2" ht="19.5" customHeight="1" x14ac:dyDescent="0.35">
      <c r="B45" s="2" t="s">
        <v>37</v>
      </c>
    </row>
    <row r="46" spans="2:2" ht="27.75" customHeight="1" x14ac:dyDescent="0.35">
      <c r="B46" s="4" t="s">
        <v>38</v>
      </c>
    </row>
    <row r="47" spans="2:2" ht="27.75" customHeight="1" x14ac:dyDescent="0.35">
      <c r="B47" s="4" t="s">
        <v>39</v>
      </c>
    </row>
    <row r="48" spans="2:2" ht="27.75" customHeight="1" x14ac:dyDescent="0.35">
      <c r="B48" s="4" t="s">
        <v>40</v>
      </c>
    </row>
    <row r="49" spans="2:2" ht="27.75" customHeight="1" x14ac:dyDescent="0.35">
      <c r="B49" s="4" t="s">
        <v>41</v>
      </c>
    </row>
    <row r="50" spans="2:2" ht="27.75" customHeight="1" x14ac:dyDescent="0.35">
      <c r="B50" s="4" t="s">
        <v>42</v>
      </c>
    </row>
    <row r="51" spans="2:2" ht="27.75" customHeight="1" x14ac:dyDescent="0.35">
      <c r="B51" s="4" t="s">
        <v>43</v>
      </c>
    </row>
    <row r="53" spans="2:2" ht="19.5" customHeight="1" x14ac:dyDescent="0.35">
      <c r="B53" s="2" t="s">
        <v>44</v>
      </c>
    </row>
    <row r="54" spans="2:2" ht="27.75" customHeight="1" x14ac:dyDescent="0.35">
      <c r="B54" s="4" t="s">
        <v>45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08080"/>
  </sheetPr>
  <dimension ref="A1:F11"/>
  <sheetViews>
    <sheetView showGridLines="0" zoomScaleNormal="100" workbookViewId="0">
      <selection activeCell="C3" sqref="C3:C7"/>
    </sheetView>
  </sheetViews>
  <sheetFormatPr defaultColWidth="8.6328125" defaultRowHeight="14.5" x14ac:dyDescent="0.35"/>
  <cols>
    <col min="1" max="6" width="20" customWidth="1"/>
  </cols>
  <sheetData>
    <row r="1" spans="1:6" ht="15" customHeight="1" x14ac:dyDescent="0.35">
      <c r="A1" s="6" t="s">
        <v>46</v>
      </c>
      <c r="B1" s="6" t="s">
        <v>47</v>
      </c>
      <c r="C1" s="6" t="s">
        <v>48</v>
      </c>
      <c r="D1" s="6" t="s">
        <v>49</v>
      </c>
      <c r="E1" s="6" t="s">
        <v>50</v>
      </c>
      <c r="F1" s="6" t="s">
        <v>51</v>
      </c>
    </row>
    <row r="2" spans="1:6" ht="15" customHeight="1" x14ac:dyDescent="0.35">
      <c r="A2" s="5" t="s">
        <v>52</v>
      </c>
      <c r="B2" s="5" t="s">
        <v>52</v>
      </c>
      <c r="C2" s="5" t="s">
        <v>52</v>
      </c>
      <c r="D2" s="5" t="s">
        <v>52</v>
      </c>
      <c r="E2" s="5" t="s">
        <v>52</v>
      </c>
      <c r="F2" s="5" t="s">
        <v>52</v>
      </c>
    </row>
    <row r="3" spans="1:6" ht="15" customHeight="1" x14ac:dyDescent="0.35">
      <c r="A3" s="5" t="s">
        <v>53</v>
      </c>
      <c r="B3" s="5" t="s">
        <v>54</v>
      </c>
      <c r="C3" s="5" t="s">
        <v>55</v>
      </c>
      <c r="D3" s="5" t="s">
        <v>56</v>
      </c>
      <c r="E3" s="5" t="s">
        <v>57</v>
      </c>
      <c r="F3" s="5" t="s">
        <v>58</v>
      </c>
    </row>
    <row r="4" spans="1:6" ht="15" customHeight="1" x14ac:dyDescent="0.35">
      <c r="A4" s="5" t="s">
        <v>59</v>
      </c>
      <c r="B4" s="5" t="s">
        <v>60</v>
      </c>
      <c r="C4" s="5" t="s">
        <v>61</v>
      </c>
      <c r="D4" s="5" t="s">
        <v>62</v>
      </c>
      <c r="E4" s="5" t="s">
        <v>63</v>
      </c>
      <c r="F4" s="5" t="s">
        <v>64</v>
      </c>
    </row>
    <row r="5" spans="1:6" ht="15" customHeight="1" x14ac:dyDescent="0.35">
      <c r="A5" s="5" t="s">
        <v>65</v>
      </c>
      <c r="B5" s="5" t="s">
        <v>66</v>
      </c>
      <c r="C5" s="5" t="s">
        <v>67</v>
      </c>
      <c r="D5" s="5" t="s">
        <v>68</v>
      </c>
      <c r="E5" s="5" t="s">
        <v>69</v>
      </c>
    </row>
    <row r="6" spans="1:6" ht="15" customHeight="1" x14ac:dyDescent="0.35">
      <c r="A6" s="5" t="s">
        <v>70</v>
      </c>
      <c r="B6" s="5" t="s">
        <v>71</v>
      </c>
      <c r="C6" s="5" t="s">
        <v>72</v>
      </c>
      <c r="D6" s="5" t="s">
        <v>73</v>
      </c>
      <c r="E6" s="5" t="s">
        <v>74</v>
      </c>
    </row>
    <row r="7" spans="1:6" ht="15" customHeight="1" x14ac:dyDescent="0.35">
      <c r="A7" s="1" t="s">
        <v>75</v>
      </c>
      <c r="B7" s="5" t="s">
        <v>76</v>
      </c>
      <c r="C7" s="5" t="s">
        <v>77</v>
      </c>
      <c r="D7" s="5" t="s">
        <v>78</v>
      </c>
    </row>
    <row r="8" spans="1:6" ht="15" customHeight="1" x14ac:dyDescent="0.35">
      <c r="B8" s="5" t="s">
        <v>79</v>
      </c>
      <c r="D8" s="5" t="s">
        <v>80</v>
      </c>
    </row>
    <row r="9" spans="1:6" ht="15" customHeight="1" x14ac:dyDescent="0.35">
      <c r="B9" s="5" t="s">
        <v>81</v>
      </c>
    </row>
    <row r="10" spans="1:6" ht="15" customHeight="1" x14ac:dyDescent="0.35">
      <c r="B10" s="5" t="s">
        <v>82</v>
      </c>
    </row>
    <row r="11" spans="1:6" x14ac:dyDescent="0.35">
      <c r="B11" s="5" t="s">
        <v>478</v>
      </c>
    </row>
  </sheetData>
  <pageMargins left="0.75" right="0.75" top="1" bottom="1" header="0.511811023622047" footer="0.511811023622047"/>
  <pageSetup paperSize="9" orientation="portrait" horizontalDpi="300" verticalDpi="300"/>
  <tableParts count="6">
    <tablePart r:id="rId1"/>
    <tablePart r:id="rId2"/>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N323"/>
  <sheetViews>
    <sheetView showGridLines="0" topLeftCell="C1" zoomScaleNormal="100" workbookViewId="0">
      <pane ySplit="3" topLeftCell="A309" activePane="bottomLeft" state="frozen"/>
      <selection pane="bottomLeft" sqref="A1:N1"/>
    </sheetView>
  </sheetViews>
  <sheetFormatPr defaultColWidth="8.6328125" defaultRowHeight="14.5" x14ac:dyDescent="0.35"/>
  <cols>
    <col min="1" max="1" width="12" customWidth="1"/>
    <col min="2" max="2" width="12.26953125" customWidth="1"/>
    <col min="3" max="3" width="10" customWidth="1"/>
    <col min="4" max="4" width="15" customWidth="1"/>
    <col min="5" max="5" width="16" customWidth="1"/>
    <col min="6" max="6" width="18" customWidth="1"/>
    <col min="7" max="7" width="20" customWidth="1"/>
    <col min="8" max="8" width="11.6328125" customWidth="1"/>
    <col min="9" max="9" width="14" customWidth="1"/>
    <col min="10" max="10" width="12.54296875" customWidth="1"/>
    <col min="11" max="11" width="17.453125" customWidth="1"/>
    <col min="12" max="12" width="13.90625" customWidth="1"/>
    <col min="13" max="13" width="16" customWidth="1"/>
    <col min="14" max="14" width="13.81640625" customWidth="1"/>
  </cols>
  <sheetData>
    <row r="1" spans="1:14" ht="15" customHeight="1" x14ac:dyDescent="0.35">
      <c r="A1" s="53" t="s">
        <v>83</v>
      </c>
      <c r="B1" s="53"/>
      <c r="C1" s="53"/>
      <c r="D1" s="53"/>
      <c r="E1" s="53"/>
      <c r="F1" s="53"/>
      <c r="G1" s="53"/>
      <c r="H1" s="53"/>
      <c r="I1" s="53"/>
      <c r="J1" s="53"/>
      <c r="K1" s="53"/>
      <c r="L1" s="53"/>
      <c r="M1" s="53"/>
      <c r="N1" s="53"/>
    </row>
    <row r="3" spans="1:14" ht="30" customHeight="1" x14ac:dyDescent="0.35">
      <c r="A3" s="38" t="s">
        <v>84</v>
      </c>
      <c r="B3" s="39" t="s">
        <v>85</v>
      </c>
      <c r="C3" s="39" t="s">
        <v>46</v>
      </c>
      <c r="D3" s="39" t="s">
        <v>86</v>
      </c>
      <c r="E3" s="39" t="s">
        <v>47</v>
      </c>
      <c r="F3" s="39" t="s">
        <v>48</v>
      </c>
      <c r="G3" s="39" t="s">
        <v>87</v>
      </c>
      <c r="H3" s="39" t="s">
        <v>88</v>
      </c>
      <c r="I3" s="39" t="s">
        <v>89</v>
      </c>
      <c r="J3" s="39" t="s">
        <v>90</v>
      </c>
      <c r="K3" s="39" t="s">
        <v>91</v>
      </c>
      <c r="L3" s="39" t="s">
        <v>50</v>
      </c>
      <c r="M3" s="39" t="s">
        <v>51</v>
      </c>
      <c r="N3" s="40" t="s">
        <v>49</v>
      </c>
    </row>
    <row r="4" spans="1:14" ht="15" customHeight="1" x14ac:dyDescent="0.35">
      <c r="A4" s="34" t="s">
        <v>92</v>
      </c>
      <c r="B4" s="9">
        <v>46023</v>
      </c>
      <c r="C4" s="8" t="s">
        <v>70</v>
      </c>
      <c r="D4" s="8" t="s">
        <v>93</v>
      </c>
      <c r="E4" s="8" t="s">
        <v>81</v>
      </c>
      <c r="F4" s="8" t="s">
        <v>67</v>
      </c>
      <c r="G4" s="8" t="s">
        <v>94</v>
      </c>
      <c r="H4" s="10">
        <v>3</v>
      </c>
      <c r="I4" s="11">
        <v>3579</v>
      </c>
      <c r="J4" s="12">
        <v>0.05</v>
      </c>
      <c r="K4" s="11">
        <f t="shared" ref="K4:K67" si="0">H4*I4*(1-J4)</f>
        <v>10200.15</v>
      </c>
      <c r="L4" s="8" t="s">
        <v>63</v>
      </c>
      <c r="M4" s="8" t="s">
        <v>58</v>
      </c>
      <c r="N4" s="36" t="str">
        <f t="shared" ref="N4:N67" si="1">TEXT(B4,"mmm-yy")</f>
        <v>Jan-26</v>
      </c>
    </row>
    <row r="5" spans="1:14" ht="15" customHeight="1" x14ac:dyDescent="0.35">
      <c r="A5" s="35" t="s">
        <v>95</v>
      </c>
      <c r="B5" s="14">
        <v>46024</v>
      </c>
      <c r="C5" s="13" t="s">
        <v>65</v>
      </c>
      <c r="D5" s="13" t="s">
        <v>96</v>
      </c>
      <c r="E5" s="13" t="s">
        <v>82</v>
      </c>
      <c r="F5" s="13" t="s">
        <v>55</v>
      </c>
      <c r="G5" s="13" t="s">
        <v>97</v>
      </c>
      <c r="H5" s="15">
        <v>3</v>
      </c>
      <c r="I5" s="16">
        <v>2399</v>
      </c>
      <c r="J5" s="17">
        <v>0.1</v>
      </c>
      <c r="K5" s="16">
        <f t="shared" si="0"/>
        <v>6477.3</v>
      </c>
      <c r="L5" s="13" t="s">
        <v>57</v>
      </c>
      <c r="M5" s="13" t="s">
        <v>58</v>
      </c>
      <c r="N5" s="37" t="str">
        <f t="shared" si="1"/>
        <v>Jan-26</v>
      </c>
    </row>
    <row r="6" spans="1:14" ht="15" customHeight="1" x14ac:dyDescent="0.35">
      <c r="A6" s="34" t="s">
        <v>98</v>
      </c>
      <c r="B6" s="9">
        <v>46025</v>
      </c>
      <c r="C6" s="8" t="s">
        <v>53</v>
      </c>
      <c r="D6" s="8" t="s">
        <v>99</v>
      </c>
      <c r="E6" s="8" t="s">
        <v>79</v>
      </c>
      <c r="F6" s="8" t="s">
        <v>67</v>
      </c>
      <c r="G6" s="8" t="s">
        <v>100</v>
      </c>
      <c r="H6" s="10">
        <v>8</v>
      </c>
      <c r="I6" s="11">
        <v>3019</v>
      </c>
      <c r="J6" s="12">
        <v>0.1</v>
      </c>
      <c r="K6" s="11">
        <f t="shared" si="0"/>
        <v>21736.799999999999</v>
      </c>
      <c r="L6" s="8" t="s">
        <v>74</v>
      </c>
      <c r="M6" s="8" t="s">
        <v>58</v>
      </c>
      <c r="N6" s="36" t="str">
        <f t="shared" si="1"/>
        <v>Jan-26</v>
      </c>
    </row>
    <row r="7" spans="1:14" ht="15" customHeight="1" x14ac:dyDescent="0.35">
      <c r="A7" s="35" t="s">
        <v>101</v>
      </c>
      <c r="B7" s="14">
        <v>46025</v>
      </c>
      <c r="C7" s="13" t="s">
        <v>59</v>
      </c>
      <c r="D7" s="13" t="s">
        <v>102</v>
      </c>
      <c r="E7" s="13" t="s">
        <v>71</v>
      </c>
      <c r="F7" s="13" t="s">
        <v>67</v>
      </c>
      <c r="G7" s="13" t="s">
        <v>103</v>
      </c>
      <c r="H7" s="15">
        <v>9</v>
      </c>
      <c r="I7" s="16">
        <v>360</v>
      </c>
      <c r="J7" s="17">
        <v>0.05</v>
      </c>
      <c r="K7" s="16">
        <f t="shared" si="0"/>
        <v>3078</v>
      </c>
      <c r="L7" s="13" t="s">
        <v>57</v>
      </c>
      <c r="M7" s="13" t="s">
        <v>58</v>
      </c>
      <c r="N7" s="37" t="str">
        <f t="shared" si="1"/>
        <v>Jan-26</v>
      </c>
    </row>
    <row r="8" spans="1:14" ht="15" customHeight="1" x14ac:dyDescent="0.35">
      <c r="A8" s="34" t="s">
        <v>104</v>
      </c>
      <c r="B8" s="9">
        <v>46026</v>
      </c>
      <c r="C8" s="8" t="s">
        <v>53</v>
      </c>
      <c r="D8" s="8" t="s">
        <v>105</v>
      </c>
      <c r="E8" s="8" t="s">
        <v>79</v>
      </c>
      <c r="F8" s="8" t="s">
        <v>77</v>
      </c>
      <c r="G8" s="8" t="s">
        <v>106</v>
      </c>
      <c r="H8" s="10">
        <v>2</v>
      </c>
      <c r="I8" s="11">
        <v>409</v>
      </c>
      <c r="J8" s="12">
        <v>0.05</v>
      </c>
      <c r="K8" s="11">
        <f t="shared" si="0"/>
        <v>777.09999999999991</v>
      </c>
      <c r="L8" s="8" t="s">
        <v>69</v>
      </c>
      <c r="M8" s="8" t="s">
        <v>58</v>
      </c>
      <c r="N8" s="36" t="str">
        <f t="shared" si="1"/>
        <v>Jan-26</v>
      </c>
    </row>
    <row r="9" spans="1:14" ht="15" customHeight="1" x14ac:dyDescent="0.35">
      <c r="A9" s="35" t="s">
        <v>107</v>
      </c>
      <c r="B9" s="14">
        <v>46027</v>
      </c>
      <c r="C9" s="13" t="s">
        <v>53</v>
      </c>
      <c r="D9" s="13" t="s">
        <v>108</v>
      </c>
      <c r="E9" s="13" t="s">
        <v>54</v>
      </c>
      <c r="F9" s="13" t="s">
        <v>55</v>
      </c>
      <c r="G9" s="13" t="s">
        <v>109</v>
      </c>
      <c r="H9" s="15">
        <v>12</v>
      </c>
      <c r="I9" s="16">
        <v>2519</v>
      </c>
      <c r="J9" s="17">
        <v>0.1</v>
      </c>
      <c r="K9" s="16">
        <f t="shared" si="0"/>
        <v>27205.200000000001</v>
      </c>
      <c r="L9" s="13" t="s">
        <v>63</v>
      </c>
      <c r="M9" s="13" t="s">
        <v>58</v>
      </c>
      <c r="N9" s="37" t="str">
        <f t="shared" si="1"/>
        <v>Jan-26</v>
      </c>
    </row>
    <row r="10" spans="1:14" ht="15" customHeight="1" x14ac:dyDescent="0.35">
      <c r="A10" s="34" t="s">
        <v>110</v>
      </c>
      <c r="B10" s="9">
        <v>46028</v>
      </c>
      <c r="C10" s="8" t="s">
        <v>70</v>
      </c>
      <c r="D10" s="8" t="s">
        <v>111</v>
      </c>
      <c r="E10" s="8" t="s">
        <v>76</v>
      </c>
      <c r="F10" s="8" t="s">
        <v>55</v>
      </c>
      <c r="G10" s="8" t="s">
        <v>112</v>
      </c>
      <c r="H10" s="10">
        <v>12</v>
      </c>
      <c r="I10" s="11">
        <v>3779</v>
      </c>
      <c r="J10" s="12">
        <v>0</v>
      </c>
      <c r="K10" s="11">
        <f t="shared" si="0"/>
        <v>45348</v>
      </c>
      <c r="L10" s="8" t="s">
        <v>57</v>
      </c>
      <c r="M10" s="8" t="s">
        <v>64</v>
      </c>
      <c r="N10" s="36" t="str">
        <f t="shared" si="1"/>
        <v>Jan-26</v>
      </c>
    </row>
    <row r="11" spans="1:14" ht="15" customHeight="1" x14ac:dyDescent="0.35">
      <c r="A11" s="35" t="s">
        <v>113</v>
      </c>
      <c r="B11" s="14">
        <v>46029</v>
      </c>
      <c r="C11" s="13" t="s">
        <v>59</v>
      </c>
      <c r="D11" s="13" t="s">
        <v>102</v>
      </c>
      <c r="E11" s="13" t="s">
        <v>71</v>
      </c>
      <c r="F11" s="13" t="s">
        <v>67</v>
      </c>
      <c r="G11" s="13" t="s">
        <v>114</v>
      </c>
      <c r="H11" s="15">
        <v>2</v>
      </c>
      <c r="I11" s="16">
        <v>2929</v>
      </c>
      <c r="J11" s="17">
        <v>0.1</v>
      </c>
      <c r="K11" s="16">
        <f t="shared" si="0"/>
        <v>5272.2</v>
      </c>
      <c r="L11" s="13" t="s">
        <v>57</v>
      </c>
      <c r="M11" s="13" t="s">
        <v>58</v>
      </c>
      <c r="N11" s="37" t="str">
        <f t="shared" si="1"/>
        <v>Jan-26</v>
      </c>
    </row>
    <row r="12" spans="1:14" ht="15" customHeight="1" x14ac:dyDescent="0.35">
      <c r="A12" s="34" t="s">
        <v>115</v>
      </c>
      <c r="B12" s="9">
        <v>46029</v>
      </c>
      <c r="C12" s="8" t="s">
        <v>65</v>
      </c>
      <c r="D12" s="8" t="s">
        <v>116</v>
      </c>
      <c r="E12" s="8" t="s">
        <v>60</v>
      </c>
      <c r="F12" s="8" t="s">
        <v>67</v>
      </c>
      <c r="G12" s="8" t="s">
        <v>94</v>
      </c>
      <c r="H12" s="10">
        <v>3</v>
      </c>
      <c r="I12" s="11">
        <v>679</v>
      </c>
      <c r="J12" s="12">
        <v>0.05</v>
      </c>
      <c r="K12" s="11">
        <f t="shared" si="0"/>
        <v>1935.1499999999999</v>
      </c>
      <c r="L12" s="8" t="s">
        <v>57</v>
      </c>
      <c r="M12" s="8" t="s">
        <v>58</v>
      </c>
      <c r="N12" s="36" t="str">
        <f t="shared" si="1"/>
        <v>Jan-26</v>
      </c>
    </row>
    <row r="13" spans="1:14" ht="15" customHeight="1" x14ac:dyDescent="0.35">
      <c r="A13" s="35" t="s">
        <v>117</v>
      </c>
      <c r="B13" s="14">
        <v>46030</v>
      </c>
      <c r="C13" s="13" t="s">
        <v>59</v>
      </c>
      <c r="D13" s="13" t="s">
        <v>102</v>
      </c>
      <c r="E13" s="13" t="s">
        <v>66</v>
      </c>
      <c r="F13" s="13" t="s">
        <v>67</v>
      </c>
      <c r="G13" s="13" t="s">
        <v>100</v>
      </c>
      <c r="H13" s="15">
        <v>3</v>
      </c>
      <c r="I13" s="16">
        <v>1109</v>
      </c>
      <c r="J13" s="17">
        <v>0.15</v>
      </c>
      <c r="K13" s="16">
        <f t="shared" si="0"/>
        <v>2827.95</v>
      </c>
      <c r="L13" s="13" t="s">
        <v>63</v>
      </c>
      <c r="M13" s="13" t="s">
        <v>64</v>
      </c>
      <c r="N13" s="37" t="str">
        <f t="shared" si="1"/>
        <v>Jan-26</v>
      </c>
    </row>
    <row r="14" spans="1:14" ht="15" customHeight="1" x14ac:dyDescent="0.35">
      <c r="A14" s="34" t="s">
        <v>118</v>
      </c>
      <c r="B14" s="9">
        <v>46032</v>
      </c>
      <c r="C14" s="8" t="s">
        <v>59</v>
      </c>
      <c r="D14" s="8" t="s">
        <v>102</v>
      </c>
      <c r="E14" s="8" t="s">
        <v>66</v>
      </c>
      <c r="F14" s="8" t="s">
        <v>77</v>
      </c>
      <c r="G14" s="8" t="s">
        <v>119</v>
      </c>
      <c r="H14" s="10">
        <v>9</v>
      </c>
      <c r="I14" s="11">
        <v>160</v>
      </c>
      <c r="J14" s="12">
        <v>0.2</v>
      </c>
      <c r="K14" s="11">
        <f t="shared" si="0"/>
        <v>1152</v>
      </c>
      <c r="L14" s="8" t="s">
        <v>63</v>
      </c>
      <c r="M14" s="8" t="s">
        <v>58</v>
      </c>
      <c r="N14" s="36" t="str">
        <f t="shared" si="1"/>
        <v>Jan-26</v>
      </c>
    </row>
    <row r="15" spans="1:14" ht="15" customHeight="1" x14ac:dyDescent="0.35">
      <c r="A15" s="35" t="s">
        <v>120</v>
      </c>
      <c r="B15" s="14">
        <v>46032</v>
      </c>
      <c r="C15" s="13" t="s">
        <v>70</v>
      </c>
      <c r="D15" s="13" t="s">
        <v>111</v>
      </c>
      <c r="E15" s="13" t="s">
        <v>81</v>
      </c>
      <c r="F15" s="13" t="s">
        <v>67</v>
      </c>
      <c r="G15" s="13" t="s">
        <v>114</v>
      </c>
      <c r="H15" s="15">
        <v>5</v>
      </c>
      <c r="I15" s="16">
        <v>2370</v>
      </c>
      <c r="J15" s="17">
        <v>0.1</v>
      </c>
      <c r="K15" s="16">
        <f t="shared" si="0"/>
        <v>10665</v>
      </c>
      <c r="L15" s="13" t="s">
        <v>57</v>
      </c>
      <c r="M15" s="13" t="s">
        <v>64</v>
      </c>
      <c r="N15" s="37" t="str">
        <f t="shared" si="1"/>
        <v>Jan-26</v>
      </c>
    </row>
    <row r="16" spans="1:14" ht="15" customHeight="1" x14ac:dyDescent="0.35">
      <c r="A16" s="34" t="s">
        <v>121</v>
      </c>
      <c r="B16" s="9">
        <v>46032</v>
      </c>
      <c r="C16" s="8" t="s">
        <v>53</v>
      </c>
      <c r="D16" s="8" t="s">
        <v>99</v>
      </c>
      <c r="E16" s="8" t="s">
        <v>54</v>
      </c>
      <c r="F16" s="8" t="s">
        <v>55</v>
      </c>
      <c r="G16" s="8" t="s">
        <v>122</v>
      </c>
      <c r="H16" s="10">
        <v>4</v>
      </c>
      <c r="I16" s="11">
        <v>1039</v>
      </c>
      <c r="J16" s="12">
        <v>0.05</v>
      </c>
      <c r="K16" s="11">
        <f t="shared" si="0"/>
        <v>3948.2</v>
      </c>
      <c r="L16" s="8" t="s">
        <v>57</v>
      </c>
      <c r="M16" s="8" t="s">
        <v>64</v>
      </c>
      <c r="N16" s="36" t="str">
        <f t="shared" si="1"/>
        <v>Jan-26</v>
      </c>
    </row>
    <row r="17" spans="1:14" ht="15" customHeight="1" x14ac:dyDescent="0.35">
      <c r="A17" s="35" t="s">
        <v>123</v>
      </c>
      <c r="B17" s="14">
        <v>46032</v>
      </c>
      <c r="C17" s="13" t="s">
        <v>70</v>
      </c>
      <c r="D17" s="13" t="s">
        <v>124</v>
      </c>
      <c r="E17" s="13" t="s">
        <v>76</v>
      </c>
      <c r="F17" s="13" t="s">
        <v>61</v>
      </c>
      <c r="G17" s="13" t="s">
        <v>125</v>
      </c>
      <c r="H17" s="15">
        <v>11</v>
      </c>
      <c r="I17" s="16">
        <v>1489</v>
      </c>
      <c r="J17" s="17">
        <v>0</v>
      </c>
      <c r="K17" s="16">
        <f t="shared" si="0"/>
        <v>16379</v>
      </c>
      <c r="L17" s="13" t="s">
        <v>57</v>
      </c>
      <c r="M17" s="13" t="s">
        <v>58</v>
      </c>
      <c r="N17" s="37" t="str">
        <f t="shared" si="1"/>
        <v>Jan-26</v>
      </c>
    </row>
    <row r="18" spans="1:14" ht="15" customHeight="1" x14ac:dyDescent="0.35">
      <c r="A18" s="34" t="s">
        <v>126</v>
      </c>
      <c r="B18" s="9">
        <v>46033</v>
      </c>
      <c r="C18" s="8" t="s">
        <v>65</v>
      </c>
      <c r="D18" s="8" t="s">
        <v>116</v>
      </c>
      <c r="E18" s="8" t="s">
        <v>82</v>
      </c>
      <c r="F18" s="8" t="s">
        <v>72</v>
      </c>
      <c r="G18" s="8" t="s">
        <v>127</v>
      </c>
      <c r="H18" s="10">
        <v>12</v>
      </c>
      <c r="I18" s="11">
        <v>1469</v>
      </c>
      <c r="J18" s="12">
        <v>0.05</v>
      </c>
      <c r="K18" s="11">
        <f t="shared" si="0"/>
        <v>16746.599999999999</v>
      </c>
      <c r="L18" s="8" t="s">
        <v>57</v>
      </c>
      <c r="M18" s="8" t="s">
        <v>58</v>
      </c>
      <c r="N18" s="36" t="str">
        <f t="shared" si="1"/>
        <v>Jan-26</v>
      </c>
    </row>
    <row r="19" spans="1:14" ht="15" customHeight="1" x14ac:dyDescent="0.35">
      <c r="A19" s="35" t="s">
        <v>128</v>
      </c>
      <c r="B19" s="14">
        <v>46033</v>
      </c>
      <c r="C19" s="13" t="s">
        <v>70</v>
      </c>
      <c r="D19" s="13" t="s">
        <v>124</v>
      </c>
      <c r="E19" s="13" t="s">
        <v>76</v>
      </c>
      <c r="F19" s="13" t="s">
        <v>77</v>
      </c>
      <c r="G19" s="13" t="s">
        <v>129</v>
      </c>
      <c r="H19" s="15">
        <v>1</v>
      </c>
      <c r="I19" s="16">
        <v>270</v>
      </c>
      <c r="J19" s="17">
        <v>0.2</v>
      </c>
      <c r="K19" s="16">
        <f t="shared" si="0"/>
        <v>216</v>
      </c>
      <c r="L19" s="13" t="s">
        <v>63</v>
      </c>
      <c r="M19" s="13" t="s">
        <v>58</v>
      </c>
      <c r="N19" s="37" t="str">
        <f t="shared" si="1"/>
        <v>Jan-26</v>
      </c>
    </row>
    <row r="20" spans="1:14" ht="15" customHeight="1" x14ac:dyDescent="0.35">
      <c r="A20" s="34" t="s">
        <v>130</v>
      </c>
      <c r="B20" s="9">
        <v>46033</v>
      </c>
      <c r="C20" s="8" t="s">
        <v>70</v>
      </c>
      <c r="D20" s="8" t="s">
        <v>124</v>
      </c>
      <c r="E20" s="8" t="s">
        <v>81</v>
      </c>
      <c r="F20" s="8" t="s">
        <v>61</v>
      </c>
      <c r="G20" s="8" t="s">
        <v>125</v>
      </c>
      <c r="H20" s="10">
        <v>12</v>
      </c>
      <c r="I20" s="11">
        <v>2129</v>
      </c>
      <c r="J20" s="12">
        <v>0</v>
      </c>
      <c r="K20" s="11">
        <f t="shared" si="0"/>
        <v>25548</v>
      </c>
      <c r="L20" s="8" t="s">
        <v>57</v>
      </c>
      <c r="M20" s="8" t="s">
        <v>64</v>
      </c>
      <c r="N20" s="36" t="str">
        <f t="shared" si="1"/>
        <v>Jan-26</v>
      </c>
    </row>
    <row r="21" spans="1:14" ht="15" customHeight="1" x14ac:dyDescent="0.35">
      <c r="A21" s="35" t="s">
        <v>131</v>
      </c>
      <c r="B21" s="14">
        <v>46033</v>
      </c>
      <c r="C21" s="13" t="s">
        <v>53</v>
      </c>
      <c r="D21" s="13" t="s">
        <v>108</v>
      </c>
      <c r="E21" s="13" t="s">
        <v>54</v>
      </c>
      <c r="F21" s="13" t="s">
        <v>67</v>
      </c>
      <c r="G21" s="13" t="s">
        <v>100</v>
      </c>
      <c r="H21" s="15">
        <v>8</v>
      </c>
      <c r="I21" s="16">
        <v>3509</v>
      </c>
      <c r="J21" s="17">
        <v>0</v>
      </c>
      <c r="K21" s="16">
        <f t="shared" si="0"/>
        <v>28072</v>
      </c>
      <c r="L21" s="13" t="s">
        <v>57</v>
      </c>
      <c r="M21" s="13" t="s">
        <v>64</v>
      </c>
      <c r="N21" s="37" t="str">
        <f t="shared" si="1"/>
        <v>Jan-26</v>
      </c>
    </row>
    <row r="22" spans="1:14" ht="15" customHeight="1" x14ac:dyDescent="0.35">
      <c r="A22" s="34" t="s">
        <v>132</v>
      </c>
      <c r="B22" s="9">
        <v>46034</v>
      </c>
      <c r="C22" s="8" t="s">
        <v>70</v>
      </c>
      <c r="D22" s="8" t="s">
        <v>111</v>
      </c>
      <c r="E22" s="8" t="s">
        <v>76</v>
      </c>
      <c r="F22" s="8" t="s">
        <v>61</v>
      </c>
      <c r="G22" s="8" t="s">
        <v>133</v>
      </c>
      <c r="H22" s="10">
        <v>6</v>
      </c>
      <c r="I22" s="11">
        <v>709</v>
      </c>
      <c r="J22" s="12">
        <v>0</v>
      </c>
      <c r="K22" s="11">
        <f t="shared" si="0"/>
        <v>4254</v>
      </c>
      <c r="L22" s="8" t="s">
        <v>69</v>
      </c>
      <c r="M22" s="8" t="s">
        <v>58</v>
      </c>
      <c r="N22" s="36" t="str">
        <f t="shared" si="1"/>
        <v>Jan-26</v>
      </c>
    </row>
    <row r="23" spans="1:14" ht="15" customHeight="1" x14ac:dyDescent="0.35">
      <c r="A23" s="35" t="s">
        <v>134</v>
      </c>
      <c r="B23" s="14">
        <v>46035</v>
      </c>
      <c r="C23" s="13" t="s">
        <v>65</v>
      </c>
      <c r="D23" s="13" t="s">
        <v>135</v>
      </c>
      <c r="E23" s="13" t="s">
        <v>60</v>
      </c>
      <c r="F23" s="13" t="s">
        <v>67</v>
      </c>
      <c r="G23" s="13" t="s">
        <v>94</v>
      </c>
      <c r="H23" s="15">
        <v>11</v>
      </c>
      <c r="I23" s="16">
        <v>1570</v>
      </c>
      <c r="J23" s="17">
        <v>0.05</v>
      </c>
      <c r="K23" s="16">
        <f t="shared" si="0"/>
        <v>16406.5</v>
      </c>
      <c r="L23" s="13" t="s">
        <v>63</v>
      </c>
      <c r="M23" s="13" t="s">
        <v>64</v>
      </c>
      <c r="N23" s="37" t="str">
        <f t="shared" si="1"/>
        <v>Jan-26</v>
      </c>
    </row>
    <row r="24" spans="1:14" ht="15" customHeight="1" x14ac:dyDescent="0.35">
      <c r="A24" s="34" t="s">
        <v>136</v>
      </c>
      <c r="B24" s="9">
        <v>46035</v>
      </c>
      <c r="C24" s="8" t="s">
        <v>53</v>
      </c>
      <c r="D24" s="8" t="s">
        <v>108</v>
      </c>
      <c r="E24" s="8" t="s">
        <v>79</v>
      </c>
      <c r="F24" s="8" t="s">
        <v>77</v>
      </c>
      <c r="G24" s="8" t="s">
        <v>106</v>
      </c>
      <c r="H24" s="10">
        <v>4</v>
      </c>
      <c r="I24" s="11">
        <v>430</v>
      </c>
      <c r="J24" s="12">
        <v>0.05</v>
      </c>
      <c r="K24" s="11">
        <f t="shared" si="0"/>
        <v>1634</v>
      </c>
      <c r="L24" s="8" t="s">
        <v>57</v>
      </c>
      <c r="M24" s="8" t="s">
        <v>58</v>
      </c>
      <c r="N24" s="36" t="str">
        <f t="shared" si="1"/>
        <v>Jan-26</v>
      </c>
    </row>
    <row r="25" spans="1:14" ht="15" customHeight="1" x14ac:dyDescent="0.35">
      <c r="A25" s="35" t="s">
        <v>137</v>
      </c>
      <c r="B25" s="14">
        <v>46036</v>
      </c>
      <c r="C25" s="13" t="s">
        <v>70</v>
      </c>
      <c r="D25" s="13" t="s">
        <v>93</v>
      </c>
      <c r="E25" s="13" t="s">
        <v>76</v>
      </c>
      <c r="F25" s="13" t="s">
        <v>61</v>
      </c>
      <c r="G25" s="13" t="s">
        <v>138</v>
      </c>
      <c r="H25" s="15">
        <v>12</v>
      </c>
      <c r="I25" s="16">
        <v>1070</v>
      </c>
      <c r="J25" s="17">
        <v>0.05</v>
      </c>
      <c r="K25" s="16">
        <f t="shared" si="0"/>
        <v>12198</v>
      </c>
      <c r="L25" s="13" t="s">
        <v>57</v>
      </c>
      <c r="M25" s="13" t="s">
        <v>58</v>
      </c>
      <c r="N25" s="37" t="str">
        <f t="shared" si="1"/>
        <v>Jan-26</v>
      </c>
    </row>
    <row r="26" spans="1:14" ht="15" customHeight="1" x14ac:dyDescent="0.35">
      <c r="A26" s="34" t="s">
        <v>139</v>
      </c>
      <c r="B26" s="9">
        <v>46037</v>
      </c>
      <c r="C26" s="8" t="s">
        <v>59</v>
      </c>
      <c r="D26" s="8" t="s">
        <v>102</v>
      </c>
      <c r="E26" s="8" t="s">
        <v>71</v>
      </c>
      <c r="F26" s="8" t="s">
        <v>77</v>
      </c>
      <c r="G26" s="8" t="s">
        <v>129</v>
      </c>
      <c r="H26" s="10">
        <v>8</v>
      </c>
      <c r="I26" s="11">
        <v>229</v>
      </c>
      <c r="J26" s="12">
        <v>0.15</v>
      </c>
      <c r="K26" s="11">
        <f t="shared" si="0"/>
        <v>1557.2</v>
      </c>
      <c r="L26" s="8" t="s">
        <v>69</v>
      </c>
      <c r="M26" s="8" t="s">
        <v>58</v>
      </c>
      <c r="N26" s="36" t="str">
        <f t="shared" si="1"/>
        <v>Jan-26</v>
      </c>
    </row>
    <row r="27" spans="1:14" ht="15" customHeight="1" x14ac:dyDescent="0.35">
      <c r="A27" s="35" t="s">
        <v>140</v>
      </c>
      <c r="B27" s="14">
        <v>46037</v>
      </c>
      <c r="C27" s="13" t="s">
        <v>65</v>
      </c>
      <c r="D27" s="13" t="s">
        <v>116</v>
      </c>
      <c r="E27" s="13" t="s">
        <v>82</v>
      </c>
      <c r="F27" s="13" t="s">
        <v>77</v>
      </c>
      <c r="G27" s="13" t="s">
        <v>119</v>
      </c>
      <c r="H27" s="15">
        <v>4</v>
      </c>
      <c r="I27" s="16">
        <v>1349</v>
      </c>
      <c r="J27" s="17">
        <v>0.15</v>
      </c>
      <c r="K27" s="16">
        <f t="shared" si="0"/>
        <v>4586.5999999999995</v>
      </c>
      <c r="L27" s="13" t="s">
        <v>57</v>
      </c>
      <c r="M27" s="13" t="s">
        <v>58</v>
      </c>
      <c r="N27" s="37" t="str">
        <f t="shared" si="1"/>
        <v>Jan-26</v>
      </c>
    </row>
    <row r="28" spans="1:14" ht="15" customHeight="1" x14ac:dyDescent="0.35">
      <c r="A28" s="34" t="s">
        <v>141</v>
      </c>
      <c r="B28" s="9">
        <v>46037</v>
      </c>
      <c r="C28" s="8" t="s">
        <v>53</v>
      </c>
      <c r="D28" s="8" t="s">
        <v>105</v>
      </c>
      <c r="E28" s="8" t="s">
        <v>54</v>
      </c>
      <c r="F28" s="8" t="s">
        <v>72</v>
      </c>
      <c r="G28" s="8" t="s">
        <v>127</v>
      </c>
      <c r="H28" s="10">
        <v>10</v>
      </c>
      <c r="I28" s="11">
        <v>3009</v>
      </c>
      <c r="J28" s="12">
        <v>0</v>
      </c>
      <c r="K28" s="11">
        <f t="shared" si="0"/>
        <v>30090</v>
      </c>
      <c r="L28" s="8" t="s">
        <v>63</v>
      </c>
      <c r="M28" s="8" t="s">
        <v>58</v>
      </c>
      <c r="N28" s="36" t="str">
        <f t="shared" si="1"/>
        <v>Jan-26</v>
      </c>
    </row>
    <row r="29" spans="1:14" ht="15" customHeight="1" x14ac:dyDescent="0.35">
      <c r="A29" s="35" t="s">
        <v>142</v>
      </c>
      <c r="B29" s="14">
        <v>46038</v>
      </c>
      <c r="C29" s="13" t="s">
        <v>65</v>
      </c>
      <c r="D29" s="13" t="s">
        <v>135</v>
      </c>
      <c r="E29" s="13" t="s">
        <v>82</v>
      </c>
      <c r="F29" s="13" t="s">
        <v>67</v>
      </c>
      <c r="G29" s="13" t="s">
        <v>114</v>
      </c>
      <c r="H29" s="15">
        <v>5</v>
      </c>
      <c r="I29" s="16">
        <v>2130</v>
      </c>
      <c r="J29" s="17">
        <v>0</v>
      </c>
      <c r="K29" s="16">
        <f t="shared" si="0"/>
        <v>10650</v>
      </c>
      <c r="L29" s="13" t="s">
        <v>69</v>
      </c>
      <c r="M29" s="13" t="s">
        <v>58</v>
      </c>
      <c r="N29" s="37" t="str">
        <f t="shared" si="1"/>
        <v>Jan-26</v>
      </c>
    </row>
    <row r="30" spans="1:14" ht="15" customHeight="1" x14ac:dyDescent="0.35">
      <c r="A30" s="34" t="s">
        <v>143</v>
      </c>
      <c r="B30" s="9">
        <v>46038</v>
      </c>
      <c r="C30" s="8" t="s">
        <v>70</v>
      </c>
      <c r="D30" s="8" t="s">
        <v>124</v>
      </c>
      <c r="E30" s="8" t="s">
        <v>76</v>
      </c>
      <c r="F30" s="8" t="s">
        <v>72</v>
      </c>
      <c r="G30" s="8" t="s">
        <v>144</v>
      </c>
      <c r="H30" s="10">
        <v>10</v>
      </c>
      <c r="I30" s="11">
        <v>609</v>
      </c>
      <c r="J30" s="12">
        <v>0.1</v>
      </c>
      <c r="K30" s="11">
        <f t="shared" si="0"/>
        <v>5481</v>
      </c>
      <c r="L30" s="8" t="s">
        <v>57</v>
      </c>
      <c r="M30" s="8" t="s">
        <v>58</v>
      </c>
      <c r="N30" s="36" t="str">
        <f t="shared" si="1"/>
        <v>Jan-26</v>
      </c>
    </row>
    <row r="31" spans="1:14" ht="15" customHeight="1" x14ac:dyDescent="0.35">
      <c r="A31" s="35" t="s">
        <v>145</v>
      </c>
      <c r="B31" s="14">
        <v>46039</v>
      </c>
      <c r="C31" s="13" t="s">
        <v>70</v>
      </c>
      <c r="D31" s="13" t="s">
        <v>93</v>
      </c>
      <c r="E31" s="13" t="s">
        <v>81</v>
      </c>
      <c r="F31" s="13" t="s">
        <v>67</v>
      </c>
      <c r="G31" s="13" t="s">
        <v>103</v>
      </c>
      <c r="H31" s="15">
        <v>11</v>
      </c>
      <c r="I31" s="16">
        <v>2479</v>
      </c>
      <c r="J31" s="17">
        <v>0.15</v>
      </c>
      <c r="K31" s="16">
        <f t="shared" si="0"/>
        <v>23178.649999999998</v>
      </c>
      <c r="L31" s="13" t="s">
        <v>57</v>
      </c>
      <c r="M31" s="13" t="s">
        <v>58</v>
      </c>
      <c r="N31" s="37" t="str">
        <f t="shared" si="1"/>
        <v>Jan-26</v>
      </c>
    </row>
    <row r="32" spans="1:14" ht="15" customHeight="1" x14ac:dyDescent="0.35">
      <c r="A32" s="34" t="s">
        <v>146</v>
      </c>
      <c r="B32" s="9">
        <v>46039</v>
      </c>
      <c r="C32" s="8" t="s">
        <v>53</v>
      </c>
      <c r="D32" s="8" t="s">
        <v>99</v>
      </c>
      <c r="E32" s="8" t="s">
        <v>79</v>
      </c>
      <c r="F32" s="8" t="s">
        <v>72</v>
      </c>
      <c r="G32" s="8" t="s">
        <v>147</v>
      </c>
      <c r="H32" s="10">
        <v>8</v>
      </c>
      <c r="I32" s="11">
        <v>1250</v>
      </c>
      <c r="J32" s="12">
        <v>0</v>
      </c>
      <c r="K32" s="11">
        <f t="shared" si="0"/>
        <v>10000</v>
      </c>
      <c r="L32" s="8" t="s">
        <v>69</v>
      </c>
      <c r="M32" s="8" t="s">
        <v>58</v>
      </c>
      <c r="N32" s="36" t="str">
        <f t="shared" si="1"/>
        <v>Jan-26</v>
      </c>
    </row>
    <row r="33" spans="1:14" ht="15" customHeight="1" x14ac:dyDescent="0.35">
      <c r="A33" s="35" t="s">
        <v>148</v>
      </c>
      <c r="B33" s="14">
        <v>46041</v>
      </c>
      <c r="C33" s="13" t="s">
        <v>65</v>
      </c>
      <c r="D33" s="13" t="s">
        <v>96</v>
      </c>
      <c r="E33" s="13" t="s">
        <v>82</v>
      </c>
      <c r="F33" s="13" t="s">
        <v>77</v>
      </c>
      <c r="G33" s="13" t="s">
        <v>149</v>
      </c>
      <c r="H33" s="15">
        <v>1</v>
      </c>
      <c r="I33" s="16">
        <v>240</v>
      </c>
      <c r="J33" s="17">
        <v>0</v>
      </c>
      <c r="K33" s="16">
        <f t="shared" si="0"/>
        <v>240</v>
      </c>
      <c r="L33" s="13" t="s">
        <v>74</v>
      </c>
      <c r="M33" s="13" t="s">
        <v>64</v>
      </c>
      <c r="N33" s="37" t="str">
        <f t="shared" si="1"/>
        <v>Jan-26</v>
      </c>
    </row>
    <row r="34" spans="1:14" ht="15" customHeight="1" x14ac:dyDescent="0.35">
      <c r="A34" s="34" t="s">
        <v>150</v>
      </c>
      <c r="B34" s="9">
        <v>46041</v>
      </c>
      <c r="C34" s="8" t="s">
        <v>65</v>
      </c>
      <c r="D34" s="8" t="s">
        <v>135</v>
      </c>
      <c r="E34" s="8" t="s">
        <v>60</v>
      </c>
      <c r="F34" s="8" t="s">
        <v>61</v>
      </c>
      <c r="G34" s="8" t="s">
        <v>138</v>
      </c>
      <c r="H34" s="10">
        <v>2</v>
      </c>
      <c r="I34" s="11">
        <v>1429</v>
      </c>
      <c r="J34" s="12">
        <v>0.1</v>
      </c>
      <c r="K34" s="11">
        <f t="shared" si="0"/>
        <v>2572.2000000000003</v>
      </c>
      <c r="L34" s="8" t="s">
        <v>57</v>
      </c>
      <c r="M34" s="8" t="s">
        <v>58</v>
      </c>
      <c r="N34" s="36" t="str">
        <f t="shared" si="1"/>
        <v>Jan-26</v>
      </c>
    </row>
    <row r="35" spans="1:14" ht="15" customHeight="1" x14ac:dyDescent="0.35">
      <c r="A35" s="35" t="s">
        <v>151</v>
      </c>
      <c r="B35" s="14">
        <v>46041</v>
      </c>
      <c r="C35" s="13" t="s">
        <v>65</v>
      </c>
      <c r="D35" s="13" t="s">
        <v>116</v>
      </c>
      <c r="E35" s="13" t="s">
        <v>82</v>
      </c>
      <c r="F35" s="13" t="s">
        <v>77</v>
      </c>
      <c r="G35" s="13" t="s">
        <v>106</v>
      </c>
      <c r="H35" s="15">
        <v>2</v>
      </c>
      <c r="I35" s="16">
        <v>669</v>
      </c>
      <c r="J35" s="17">
        <v>0.05</v>
      </c>
      <c r="K35" s="16">
        <f t="shared" si="0"/>
        <v>1271.0999999999999</v>
      </c>
      <c r="L35" s="13" t="s">
        <v>69</v>
      </c>
      <c r="M35" s="13" t="s">
        <v>64</v>
      </c>
      <c r="N35" s="37" t="str">
        <f t="shared" si="1"/>
        <v>Jan-26</v>
      </c>
    </row>
    <row r="36" spans="1:14" ht="15" customHeight="1" x14ac:dyDescent="0.35">
      <c r="A36" s="34" t="s">
        <v>152</v>
      </c>
      <c r="B36" s="9">
        <v>46042</v>
      </c>
      <c r="C36" s="8" t="s">
        <v>65</v>
      </c>
      <c r="D36" s="8" t="s">
        <v>96</v>
      </c>
      <c r="E36" s="8" t="s">
        <v>82</v>
      </c>
      <c r="F36" s="8" t="s">
        <v>61</v>
      </c>
      <c r="G36" s="8" t="s">
        <v>133</v>
      </c>
      <c r="H36" s="10">
        <v>9</v>
      </c>
      <c r="I36" s="11">
        <v>1439</v>
      </c>
      <c r="J36" s="12">
        <v>0</v>
      </c>
      <c r="K36" s="11">
        <f t="shared" si="0"/>
        <v>12951</v>
      </c>
      <c r="L36" s="8" t="s">
        <v>57</v>
      </c>
      <c r="M36" s="8" t="s">
        <v>64</v>
      </c>
      <c r="N36" s="36" t="str">
        <f t="shared" si="1"/>
        <v>Jan-26</v>
      </c>
    </row>
    <row r="37" spans="1:14" ht="15" customHeight="1" x14ac:dyDescent="0.35">
      <c r="A37" s="35" t="s">
        <v>153</v>
      </c>
      <c r="B37" s="14">
        <v>46043</v>
      </c>
      <c r="C37" s="13" t="s">
        <v>65</v>
      </c>
      <c r="D37" s="13" t="s">
        <v>135</v>
      </c>
      <c r="E37" s="13" t="s">
        <v>60</v>
      </c>
      <c r="F37" s="13" t="s">
        <v>61</v>
      </c>
      <c r="G37" s="13" t="s">
        <v>154</v>
      </c>
      <c r="H37" s="15">
        <v>8</v>
      </c>
      <c r="I37" s="16">
        <v>609</v>
      </c>
      <c r="J37" s="17">
        <v>0</v>
      </c>
      <c r="K37" s="16">
        <f t="shared" si="0"/>
        <v>4872</v>
      </c>
      <c r="L37" s="13" t="s">
        <v>57</v>
      </c>
      <c r="M37" s="13" t="s">
        <v>64</v>
      </c>
      <c r="N37" s="37" t="str">
        <f t="shared" si="1"/>
        <v>Jan-26</v>
      </c>
    </row>
    <row r="38" spans="1:14" ht="15" customHeight="1" x14ac:dyDescent="0.35">
      <c r="A38" s="34" t="s">
        <v>155</v>
      </c>
      <c r="B38" s="9">
        <v>46043</v>
      </c>
      <c r="C38" s="8" t="s">
        <v>65</v>
      </c>
      <c r="D38" s="8" t="s">
        <v>96</v>
      </c>
      <c r="E38" s="8" t="s">
        <v>60</v>
      </c>
      <c r="F38" s="8" t="s">
        <v>67</v>
      </c>
      <c r="G38" s="8" t="s">
        <v>114</v>
      </c>
      <c r="H38" s="10">
        <v>10</v>
      </c>
      <c r="I38" s="11">
        <v>2210</v>
      </c>
      <c r="J38" s="12">
        <v>0</v>
      </c>
      <c r="K38" s="11">
        <f t="shared" si="0"/>
        <v>22100</v>
      </c>
      <c r="L38" s="8" t="s">
        <v>69</v>
      </c>
      <c r="M38" s="8" t="s">
        <v>58</v>
      </c>
      <c r="N38" s="36" t="str">
        <f t="shared" si="1"/>
        <v>Jan-26</v>
      </c>
    </row>
    <row r="39" spans="1:14" ht="15" customHeight="1" x14ac:dyDescent="0.35">
      <c r="A39" s="35" t="s">
        <v>156</v>
      </c>
      <c r="B39" s="14">
        <v>46043</v>
      </c>
      <c r="C39" s="13" t="s">
        <v>59</v>
      </c>
      <c r="D39" s="13" t="s">
        <v>157</v>
      </c>
      <c r="E39" s="13" t="s">
        <v>71</v>
      </c>
      <c r="F39" s="13" t="s">
        <v>61</v>
      </c>
      <c r="G39" s="13" t="s">
        <v>138</v>
      </c>
      <c r="H39" s="15">
        <v>6</v>
      </c>
      <c r="I39" s="16">
        <v>2449</v>
      </c>
      <c r="J39" s="17">
        <v>0</v>
      </c>
      <c r="K39" s="16">
        <f t="shared" si="0"/>
        <v>14694</v>
      </c>
      <c r="L39" s="13" t="s">
        <v>57</v>
      </c>
      <c r="M39" s="13" t="s">
        <v>58</v>
      </c>
      <c r="N39" s="37" t="str">
        <f t="shared" si="1"/>
        <v>Jan-26</v>
      </c>
    </row>
    <row r="40" spans="1:14" ht="15" customHeight="1" x14ac:dyDescent="0.35">
      <c r="A40" s="34" t="s">
        <v>158</v>
      </c>
      <c r="B40" s="9">
        <v>46044</v>
      </c>
      <c r="C40" s="8" t="s">
        <v>53</v>
      </c>
      <c r="D40" s="8" t="s">
        <v>108</v>
      </c>
      <c r="E40" s="8" t="s">
        <v>54</v>
      </c>
      <c r="F40" s="8" t="s">
        <v>61</v>
      </c>
      <c r="G40" s="8" t="s">
        <v>154</v>
      </c>
      <c r="H40" s="10">
        <v>7</v>
      </c>
      <c r="I40" s="11">
        <v>449</v>
      </c>
      <c r="J40" s="12">
        <v>0</v>
      </c>
      <c r="K40" s="11">
        <f t="shared" si="0"/>
        <v>3143</v>
      </c>
      <c r="L40" s="8" t="s">
        <v>57</v>
      </c>
      <c r="M40" s="8" t="s">
        <v>58</v>
      </c>
      <c r="N40" s="36" t="str">
        <f t="shared" si="1"/>
        <v>Jan-26</v>
      </c>
    </row>
    <row r="41" spans="1:14" ht="15" customHeight="1" x14ac:dyDescent="0.35">
      <c r="A41" s="35" t="s">
        <v>159</v>
      </c>
      <c r="B41" s="14">
        <v>46044</v>
      </c>
      <c r="C41" s="13" t="s">
        <v>70</v>
      </c>
      <c r="D41" s="13" t="s">
        <v>111</v>
      </c>
      <c r="E41" s="13" t="s">
        <v>81</v>
      </c>
      <c r="F41" s="13" t="s">
        <v>67</v>
      </c>
      <c r="G41" s="13" t="s">
        <v>103</v>
      </c>
      <c r="H41" s="15">
        <v>8</v>
      </c>
      <c r="I41" s="16">
        <v>1129</v>
      </c>
      <c r="J41" s="17">
        <v>0.05</v>
      </c>
      <c r="K41" s="16">
        <f t="shared" si="0"/>
        <v>8580.4</v>
      </c>
      <c r="L41" s="13" t="s">
        <v>63</v>
      </c>
      <c r="M41" s="13" t="s">
        <v>58</v>
      </c>
      <c r="N41" s="37" t="str">
        <f t="shared" si="1"/>
        <v>Jan-26</v>
      </c>
    </row>
    <row r="42" spans="1:14" ht="15" customHeight="1" x14ac:dyDescent="0.35">
      <c r="A42" s="34" t="s">
        <v>160</v>
      </c>
      <c r="B42" s="9">
        <v>46046</v>
      </c>
      <c r="C42" s="8" t="s">
        <v>53</v>
      </c>
      <c r="D42" s="8" t="s">
        <v>99</v>
      </c>
      <c r="E42" s="8" t="s">
        <v>54</v>
      </c>
      <c r="F42" s="8" t="s">
        <v>77</v>
      </c>
      <c r="G42" s="8" t="s">
        <v>149</v>
      </c>
      <c r="H42" s="10">
        <v>3</v>
      </c>
      <c r="I42" s="11">
        <v>689</v>
      </c>
      <c r="J42" s="12">
        <v>0</v>
      </c>
      <c r="K42" s="11">
        <f t="shared" si="0"/>
        <v>2067</v>
      </c>
      <c r="L42" s="8" t="s">
        <v>57</v>
      </c>
      <c r="M42" s="8" t="s">
        <v>58</v>
      </c>
      <c r="N42" s="36" t="str">
        <f t="shared" si="1"/>
        <v>Jan-26</v>
      </c>
    </row>
    <row r="43" spans="1:14" ht="15" customHeight="1" x14ac:dyDescent="0.35">
      <c r="A43" s="35" t="s">
        <v>161</v>
      </c>
      <c r="B43" s="14">
        <v>46046</v>
      </c>
      <c r="C43" s="13" t="s">
        <v>70</v>
      </c>
      <c r="D43" s="13" t="s">
        <v>111</v>
      </c>
      <c r="E43" s="13" t="s">
        <v>81</v>
      </c>
      <c r="F43" s="13" t="s">
        <v>55</v>
      </c>
      <c r="G43" s="13" t="s">
        <v>122</v>
      </c>
      <c r="H43" s="15">
        <v>11</v>
      </c>
      <c r="I43" s="16">
        <v>1170</v>
      </c>
      <c r="J43" s="17">
        <v>0.15</v>
      </c>
      <c r="K43" s="16">
        <f t="shared" si="0"/>
        <v>10939.5</v>
      </c>
      <c r="L43" s="13" t="s">
        <v>63</v>
      </c>
      <c r="M43" s="13" t="s">
        <v>58</v>
      </c>
      <c r="N43" s="37" t="str">
        <f t="shared" si="1"/>
        <v>Jan-26</v>
      </c>
    </row>
    <row r="44" spans="1:14" ht="15" customHeight="1" x14ac:dyDescent="0.35">
      <c r="A44" s="34" t="s">
        <v>162</v>
      </c>
      <c r="B44" s="9">
        <v>46047</v>
      </c>
      <c r="C44" s="8" t="s">
        <v>59</v>
      </c>
      <c r="D44" s="8" t="s">
        <v>157</v>
      </c>
      <c r="E44" s="8" t="s">
        <v>66</v>
      </c>
      <c r="F44" s="8" t="s">
        <v>61</v>
      </c>
      <c r="G44" s="8" t="s">
        <v>133</v>
      </c>
      <c r="H44" s="10">
        <v>12</v>
      </c>
      <c r="I44" s="11">
        <v>2459</v>
      </c>
      <c r="J44" s="12">
        <v>0</v>
      </c>
      <c r="K44" s="11">
        <f t="shared" si="0"/>
        <v>29508</v>
      </c>
      <c r="L44" s="8" t="s">
        <v>57</v>
      </c>
      <c r="M44" s="8" t="s">
        <v>58</v>
      </c>
      <c r="N44" s="36" t="str">
        <f t="shared" si="1"/>
        <v>Jan-26</v>
      </c>
    </row>
    <row r="45" spans="1:14" ht="15" customHeight="1" x14ac:dyDescent="0.35">
      <c r="A45" s="35" t="s">
        <v>163</v>
      </c>
      <c r="B45" s="14">
        <v>46048</v>
      </c>
      <c r="C45" s="13" t="s">
        <v>59</v>
      </c>
      <c r="D45" s="13" t="s">
        <v>102</v>
      </c>
      <c r="E45" s="13" t="s">
        <v>66</v>
      </c>
      <c r="F45" s="13" t="s">
        <v>72</v>
      </c>
      <c r="G45" s="13" t="s">
        <v>147</v>
      </c>
      <c r="H45" s="15">
        <v>5</v>
      </c>
      <c r="I45" s="16">
        <v>2729</v>
      </c>
      <c r="J45" s="17">
        <v>0</v>
      </c>
      <c r="K45" s="16">
        <f t="shared" si="0"/>
        <v>13645</v>
      </c>
      <c r="L45" s="13" t="s">
        <v>63</v>
      </c>
      <c r="M45" s="13" t="s">
        <v>58</v>
      </c>
      <c r="N45" s="37" t="str">
        <f t="shared" si="1"/>
        <v>Jan-26</v>
      </c>
    </row>
    <row r="46" spans="1:14" ht="15" customHeight="1" x14ac:dyDescent="0.35">
      <c r="A46" s="34" t="s">
        <v>164</v>
      </c>
      <c r="B46" s="9">
        <v>46048</v>
      </c>
      <c r="C46" s="8" t="s">
        <v>70</v>
      </c>
      <c r="D46" s="8" t="s">
        <v>111</v>
      </c>
      <c r="E46" s="8" t="s">
        <v>76</v>
      </c>
      <c r="F46" s="8" t="s">
        <v>77</v>
      </c>
      <c r="G46" s="8" t="s">
        <v>106</v>
      </c>
      <c r="H46" s="10">
        <v>10</v>
      </c>
      <c r="I46" s="11">
        <v>289</v>
      </c>
      <c r="J46" s="12">
        <v>0.2</v>
      </c>
      <c r="K46" s="11">
        <f t="shared" si="0"/>
        <v>2312</v>
      </c>
      <c r="L46" s="8" t="s">
        <v>63</v>
      </c>
      <c r="M46" s="8" t="s">
        <v>58</v>
      </c>
      <c r="N46" s="36" t="str">
        <f t="shared" si="1"/>
        <v>Jan-26</v>
      </c>
    </row>
    <row r="47" spans="1:14" ht="15" customHeight="1" x14ac:dyDescent="0.35">
      <c r="A47" s="35" t="s">
        <v>165</v>
      </c>
      <c r="B47" s="14">
        <v>46049</v>
      </c>
      <c r="C47" s="13" t="s">
        <v>65</v>
      </c>
      <c r="D47" s="13" t="s">
        <v>135</v>
      </c>
      <c r="E47" s="13" t="s">
        <v>82</v>
      </c>
      <c r="F47" s="13" t="s">
        <v>72</v>
      </c>
      <c r="G47" s="13" t="s">
        <v>166</v>
      </c>
      <c r="H47" s="15">
        <v>1</v>
      </c>
      <c r="I47" s="16">
        <v>1170</v>
      </c>
      <c r="J47" s="17">
        <v>0.15</v>
      </c>
      <c r="K47" s="16">
        <f t="shared" si="0"/>
        <v>994.5</v>
      </c>
      <c r="L47" s="13" t="s">
        <v>57</v>
      </c>
      <c r="M47" s="13" t="s">
        <v>58</v>
      </c>
      <c r="N47" s="37" t="str">
        <f t="shared" si="1"/>
        <v>Jan-26</v>
      </c>
    </row>
    <row r="48" spans="1:14" ht="15" customHeight="1" x14ac:dyDescent="0.35">
      <c r="A48" s="34" t="s">
        <v>167</v>
      </c>
      <c r="B48" s="9">
        <v>46049</v>
      </c>
      <c r="C48" s="8" t="s">
        <v>70</v>
      </c>
      <c r="D48" s="8" t="s">
        <v>93</v>
      </c>
      <c r="E48" s="8" t="s">
        <v>81</v>
      </c>
      <c r="F48" s="8" t="s">
        <v>67</v>
      </c>
      <c r="G48" s="8" t="s">
        <v>94</v>
      </c>
      <c r="H48" s="10">
        <v>7</v>
      </c>
      <c r="I48" s="11">
        <v>2619</v>
      </c>
      <c r="J48" s="12">
        <v>0</v>
      </c>
      <c r="K48" s="11">
        <f t="shared" si="0"/>
        <v>18333</v>
      </c>
      <c r="L48" s="8" t="s">
        <v>57</v>
      </c>
      <c r="M48" s="8" t="s">
        <v>64</v>
      </c>
      <c r="N48" s="36" t="str">
        <f t="shared" si="1"/>
        <v>Jan-26</v>
      </c>
    </row>
    <row r="49" spans="1:14" ht="15" customHeight="1" x14ac:dyDescent="0.35">
      <c r="A49" s="35" t="s">
        <v>168</v>
      </c>
      <c r="B49" s="14">
        <v>46050</v>
      </c>
      <c r="C49" s="13" t="s">
        <v>70</v>
      </c>
      <c r="D49" s="13" t="s">
        <v>111</v>
      </c>
      <c r="E49" s="13" t="s">
        <v>81</v>
      </c>
      <c r="F49" s="13" t="s">
        <v>72</v>
      </c>
      <c r="G49" s="13" t="s">
        <v>144</v>
      </c>
      <c r="H49" s="15">
        <v>6</v>
      </c>
      <c r="I49" s="16">
        <v>899</v>
      </c>
      <c r="J49" s="17">
        <v>0.15</v>
      </c>
      <c r="K49" s="16">
        <f t="shared" si="0"/>
        <v>4584.8999999999996</v>
      </c>
      <c r="L49" s="13" t="s">
        <v>74</v>
      </c>
      <c r="M49" s="13" t="s">
        <v>58</v>
      </c>
      <c r="N49" s="37" t="str">
        <f t="shared" si="1"/>
        <v>Jan-26</v>
      </c>
    </row>
    <row r="50" spans="1:14" ht="15" customHeight="1" x14ac:dyDescent="0.35">
      <c r="A50" s="34" t="s">
        <v>169</v>
      </c>
      <c r="B50" s="9">
        <v>46050</v>
      </c>
      <c r="C50" s="8" t="s">
        <v>59</v>
      </c>
      <c r="D50" s="8" t="s">
        <v>157</v>
      </c>
      <c r="E50" s="8" t="s">
        <v>71</v>
      </c>
      <c r="F50" s="8" t="s">
        <v>55</v>
      </c>
      <c r="G50" s="8" t="s">
        <v>112</v>
      </c>
      <c r="H50" s="10">
        <v>8</v>
      </c>
      <c r="I50" s="11">
        <v>1629</v>
      </c>
      <c r="J50" s="12">
        <v>0.15</v>
      </c>
      <c r="K50" s="11">
        <f t="shared" si="0"/>
        <v>11077.199999999999</v>
      </c>
      <c r="L50" s="8" t="s">
        <v>57</v>
      </c>
      <c r="M50" s="8" t="s">
        <v>58</v>
      </c>
      <c r="N50" s="36" t="str">
        <f t="shared" si="1"/>
        <v>Jan-26</v>
      </c>
    </row>
    <row r="51" spans="1:14" ht="15" customHeight="1" x14ac:dyDescent="0.35">
      <c r="A51" s="35" t="s">
        <v>170</v>
      </c>
      <c r="B51" s="14">
        <v>46050</v>
      </c>
      <c r="C51" s="13" t="s">
        <v>53</v>
      </c>
      <c r="D51" s="13" t="s">
        <v>99</v>
      </c>
      <c r="E51" s="13" t="s">
        <v>54</v>
      </c>
      <c r="F51" s="13" t="s">
        <v>67</v>
      </c>
      <c r="G51" s="13" t="s">
        <v>100</v>
      </c>
      <c r="H51" s="15">
        <v>11</v>
      </c>
      <c r="I51" s="16">
        <v>2359</v>
      </c>
      <c r="J51" s="17">
        <v>0.2</v>
      </c>
      <c r="K51" s="16">
        <f t="shared" si="0"/>
        <v>20759.2</v>
      </c>
      <c r="L51" s="13" t="s">
        <v>57</v>
      </c>
      <c r="M51" s="13" t="s">
        <v>64</v>
      </c>
      <c r="N51" s="37" t="str">
        <f t="shared" si="1"/>
        <v>Jan-26</v>
      </c>
    </row>
    <row r="52" spans="1:14" ht="15" customHeight="1" x14ac:dyDescent="0.35">
      <c r="A52" s="34" t="s">
        <v>171</v>
      </c>
      <c r="B52" s="9">
        <v>46050</v>
      </c>
      <c r="C52" s="8" t="s">
        <v>65</v>
      </c>
      <c r="D52" s="8" t="s">
        <v>116</v>
      </c>
      <c r="E52" s="8" t="s">
        <v>82</v>
      </c>
      <c r="F52" s="8" t="s">
        <v>55</v>
      </c>
      <c r="G52" s="8" t="s">
        <v>97</v>
      </c>
      <c r="H52" s="10">
        <v>8</v>
      </c>
      <c r="I52" s="11">
        <v>859</v>
      </c>
      <c r="J52" s="12">
        <v>0</v>
      </c>
      <c r="K52" s="11">
        <f t="shared" si="0"/>
        <v>6872</v>
      </c>
      <c r="L52" s="8" t="s">
        <v>57</v>
      </c>
      <c r="M52" s="8" t="s">
        <v>58</v>
      </c>
      <c r="N52" s="36" t="str">
        <f t="shared" si="1"/>
        <v>Jan-26</v>
      </c>
    </row>
    <row r="53" spans="1:14" ht="15" customHeight="1" x14ac:dyDescent="0.35">
      <c r="A53" s="35" t="s">
        <v>172</v>
      </c>
      <c r="B53" s="14">
        <v>46050</v>
      </c>
      <c r="C53" s="13" t="s">
        <v>53</v>
      </c>
      <c r="D53" s="13" t="s">
        <v>108</v>
      </c>
      <c r="E53" s="13" t="s">
        <v>79</v>
      </c>
      <c r="F53" s="13" t="s">
        <v>77</v>
      </c>
      <c r="G53" s="13" t="s">
        <v>149</v>
      </c>
      <c r="H53" s="15">
        <v>7</v>
      </c>
      <c r="I53" s="16">
        <v>1270</v>
      </c>
      <c r="J53" s="17">
        <v>0.05</v>
      </c>
      <c r="K53" s="16">
        <f t="shared" si="0"/>
        <v>8445.5</v>
      </c>
      <c r="L53" s="13" t="s">
        <v>63</v>
      </c>
      <c r="M53" s="13" t="s">
        <v>58</v>
      </c>
      <c r="N53" s="37" t="str">
        <f t="shared" si="1"/>
        <v>Jan-26</v>
      </c>
    </row>
    <row r="54" spans="1:14" ht="15" customHeight="1" x14ac:dyDescent="0.35">
      <c r="A54" s="34" t="s">
        <v>173</v>
      </c>
      <c r="B54" s="9">
        <v>46051</v>
      </c>
      <c r="C54" s="8" t="s">
        <v>53</v>
      </c>
      <c r="D54" s="8" t="s">
        <v>105</v>
      </c>
      <c r="E54" s="8" t="s">
        <v>79</v>
      </c>
      <c r="F54" s="8" t="s">
        <v>77</v>
      </c>
      <c r="G54" s="8" t="s">
        <v>119</v>
      </c>
      <c r="H54" s="10">
        <v>9</v>
      </c>
      <c r="I54" s="11">
        <v>669</v>
      </c>
      <c r="J54" s="12">
        <v>0</v>
      </c>
      <c r="K54" s="11">
        <f t="shared" si="0"/>
        <v>6021</v>
      </c>
      <c r="L54" s="8" t="s">
        <v>57</v>
      </c>
      <c r="M54" s="8" t="s">
        <v>58</v>
      </c>
      <c r="N54" s="36" t="str">
        <f t="shared" si="1"/>
        <v>Jan-26</v>
      </c>
    </row>
    <row r="55" spans="1:14" ht="15" customHeight="1" x14ac:dyDescent="0.35">
      <c r="A55" s="35" t="s">
        <v>174</v>
      </c>
      <c r="B55" s="14">
        <v>46052</v>
      </c>
      <c r="C55" s="13" t="s">
        <v>59</v>
      </c>
      <c r="D55" s="13" t="s">
        <v>175</v>
      </c>
      <c r="E55" s="13" t="s">
        <v>66</v>
      </c>
      <c r="F55" s="13" t="s">
        <v>77</v>
      </c>
      <c r="G55" s="13" t="s">
        <v>129</v>
      </c>
      <c r="H55" s="15">
        <v>3</v>
      </c>
      <c r="I55" s="16">
        <v>599</v>
      </c>
      <c r="J55" s="17">
        <v>0.2</v>
      </c>
      <c r="K55" s="16">
        <f t="shared" si="0"/>
        <v>1437.6000000000001</v>
      </c>
      <c r="L55" s="13" t="s">
        <v>57</v>
      </c>
      <c r="M55" s="13" t="s">
        <v>64</v>
      </c>
      <c r="N55" s="37" t="str">
        <f t="shared" si="1"/>
        <v>Jan-26</v>
      </c>
    </row>
    <row r="56" spans="1:14" ht="15" customHeight="1" x14ac:dyDescent="0.35">
      <c r="A56" s="34" t="s">
        <v>176</v>
      </c>
      <c r="B56" s="9">
        <v>46052</v>
      </c>
      <c r="C56" s="8" t="s">
        <v>59</v>
      </c>
      <c r="D56" s="8" t="s">
        <v>102</v>
      </c>
      <c r="E56" s="8" t="s">
        <v>71</v>
      </c>
      <c r="F56" s="8" t="s">
        <v>72</v>
      </c>
      <c r="G56" s="8" t="s">
        <v>127</v>
      </c>
      <c r="H56" s="10">
        <v>11</v>
      </c>
      <c r="I56" s="11">
        <v>1439</v>
      </c>
      <c r="J56" s="12">
        <v>0</v>
      </c>
      <c r="K56" s="11">
        <f t="shared" si="0"/>
        <v>15829</v>
      </c>
      <c r="L56" s="8" t="s">
        <v>57</v>
      </c>
      <c r="M56" s="8" t="s">
        <v>64</v>
      </c>
      <c r="N56" s="36" t="str">
        <f t="shared" si="1"/>
        <v>Jan-26</v>
      </c>
    </row>
    <row r="57" spans="1:14" ht="15" customHeight="1" x14ac:dyDescent="0.35">
      <c r="A57" s="35" t="s">
        <v>177</v>
      </c>
      <c r="B57" s="14">
        <v>46052</v>
      </c>
      <c r="C57" s="13" t="s">
        <v>65</v>
      </c>
      <c r="D57" s="13" t="s">
        <v>116</v>
      </c>
      <c r="E57" s="13" t="s">
        <v>82</v>
      </c>
      <c r="F57" s="13" t="s">
        <v>77</v>
      </c>
      <c r="G57" s="13" t="s">
        <v>149</v>
      </c>
      <c r="H57" s="15">
        <v>3</v>
      </c>
      <c r="I57" s="16">
        <v>1049</v>
      </c>
      <c r="J57" s="17">
        <v>0.15</v>
      </c>
      <c r="K57" s="16">
        <f t="shared" si="0"/>
        <v>2674.95</v>
      </c>
      <c r="L57" s="13" t="s">
        <v>57</v>
      </c>
      <c r="M57" s="13" t="s">
        <v>58</v>
      </c>
      <c r="N57" s="37" t="str">
        <f t="shared" si="1"/>
        <v>Jan-26</v>
      </c>
    </row>
    <row r="58" spans="1:14" ht="15" customHeight="1" x14ac:dyDescent="0.35">
      <c r="A58" s="34" t="s">
        <v>178</v>
      </c>
      <c r="B58" s="9">
        <v>46053</v>
      </c>
      <c r="C58" s="8" t="s">
        <v>59</v>
      </c>
      <c r="D58" s="8" t="s">
        <v>157</v>
      </c>
      <c r="E58" s="8" t="s">
        <v>71</v>
      </c>
      <c r="F58" s="8" t="s">
        <v>61</v>
      </c>
      <c r="G58" s="8" t="s">
        <v>154</v>
      </c>
      <c r="H58" s="10">
        <v>1</v>
      </c>
      <c r="I58" s="11">
        <v>1389</v>
      </c>
      <c r="J58" s="12">
        <v>0.15</v>
      </c>
      <c r="K58" s="11">
        <f t="shared" si="0"/>
        <v>1180.6499999999999</v>
      </c>
      <c r="L58" s="8" t="s">
        <v>57</v>
      </c>
      <c r="M58" s="8" t="s">
        <v>64</v>
      </c>
      <c r="N58" s="36" t="str">
        <f t="shared" si="1"/>
        <v>Jan-26</v>
      </c>
    </row>
    <row r="59" spans="1:14" ht="15" customHeight="1" x14ac:dyDescent="0.35">
      <c r="A59" s="35" t="s">
        <v>179</v>
      </c>
      <c r="B59" s="14">
        <v>46054</v>
      </c>
      <c r="C59" s="13" t="s">
        <v>65</v>
      </c>
      <c r="D59" s="13" t="s">
        <v>96</v>
      </c>
      <c r="E59" s="13" t="s">
        <v>82</v>
      </c>
      <c r="F59" s="13" t="s">
        <v>72</v>
      </c>
      <c r="G59" s="13" t="s">
        <v>144</v>
      </c>
      <c r="H59" s="15">
        <v>4</v>
      </c>
      <c r="I59" s="16">
        <v>949</v>
      </c>
      <c r="J59" s="17">
        <v>0</v>
      </c>
      <c r="K59" s="16">
        <f t="shared" si="0"/>
        <v>3796</v>
      </c>
      <c r="L59" s="13" t="s">
        <v>57</v>
      </c>
      <c r="M59" s="13" t="s">
        <v>58</v>
      </c>
      <c r="N59" s="37" t="str">
        <f t="shared" si="1"/>
        <v>Feb-26</v>
      </c>
    </row>
    <row r="60" spans="1:14" ht="15" customHeight="1" x14ac:dyDescent="0.35">
      <c r="A60" s="34" t="s">
        <v>180</v>
      </c>
      <c r="B60" s="9">
        <v>46055</v>
      </c>
      <c r="C60" s="8" t="s">
        <v>59</v>
      </c>
      <c r="D60" s="8" t="s">
        <v>157</v>
      </c>
      <c r="E60" s="8" t="s">
        <v>66</v>
      </c>
      <c r="F60" s="8" t="s">
        <v>55</v>
      </c>
      <c r="G60" s="8" t="s">
        <v>112</v>
      </c>
      <c r="H60" s="10">
        <v>9</v>
      </c>
      <c r="I60" s="11">
        <v>2739</v>
      </c>
      <c r="J60" s="12">
        <v>0.15</v>
      </c>
      <c r="K60" s="11">
        <f t="shared" si="0"/>
        <v>20953.349999999999</v>
      </c>
      <c r="L60" s="8" t="s">
        <v>63</v>
      </c>
      <c r="M60" s="8" t="s">
        <v>58</v>
      </c>
      <c r="N60" s="36" t="str">
        <f t="shared" si="1"/>
        <v>Feb-26</v>
      </c>
    </row>
    <row r="61" spans="1:14" ht="15" customHeight="1" x14ac:dyDescent="0.35">
      <c r="A61" s="35" t="s">
        <v>181</v>
      </c>
      <c r="B61" s="14">
        <v>46056</v>
      </c>
      <c r="C61" s="13" t="s">
        <v>70</v>
      </c>
      <c r="D61" s="13" t="s">
        <v>111</v>
      </c>
      <c r="E61" s="13" t="s">
        <v>76</v>
      </c>
      <c r="F61" s="13" t="s">
        <v>61</v>
      </c>
      <c r="G61" s="13" t="s">
        <v>154</v>
      </c>
      <c r="H61" s="15">
        <v>10</v>
      </c>
      <c r="I61" s="16">
        <v>749</v>
      </c>
      <c r="J61" s="17">
        <v>0.1</v>
      </c>
      <c r="K61" s="16">
        <f t="shared" si="0"/>
        <v>6741</v>
      </c>
      <c r="L61" s="13" t="s">
        <v>69</v>
      </c>
      <c r="M61" s="13" t="s">
        <v>64</v>
      </c>
      <c r="N61" s="37" t="str">
        <f t="shared" si="1"/>
        <v>Feb-26</v>
      </c>
    </row>
    <row r="62" spans="1:14" ht="15" customHeight="1" x14ac:dyDescent="0.35">
      <c r="A62" s="34" t="s">
        <v>182</v>
      </c>
      <c r="B62" s="9">
        <v>46057</v>
      </c>
      <c r="C62" s="8" t="s">
        <v>53</v>
      </c>
      <c r="D62" s="8" t="s">
        <v>99</v>
      </c>
      <c r="E62" s="8" t="s">
        <v>79</v>
      </c>
      <c r="F62" s="8" t="s">
        <v>61</v>
      </c>
      <c r="G62" s="8" t="s">
        <v>133</v>
      </c>
      <c r="H62" s="10">
        <v>12</v>
      </c>
      <c r="I62" s="11">
        <v>1490</v>
      </c>
      <c r="J62" s="12">
        <v>0.05</v>
      </c>
      <c r="K62" s="11">
        <f t="shared" si="0"/>
        <v>16986</v>
      </c>
      <c r="L62" s="8" t="s">
        <v>74</v>
      </c>
      <c r="M62" s="8" t="s">
        <v>58</v>
      </c>
      <c r="N62" s="36" t="str">
        <f t="shared" si="1"/>
        <v>Feb-26</v>
      </c>
    </row>
    <row r="63" spans="1:14" ht="15" customHeight="1" x14ac:dyDescent="0.35">
      <c r="A63" s="35" t="s">
        <v>183</v>
      </c>
      <c r="B63" s="14">
        <v>46057</v>
      </c>
      <c r="C63" s="13" t="s">
        <v>65</v>
      </c>
      <c r="D63" s="13" t="s">
        <v>135</v>
      </c>
      <c r="E63" s="13" t="s">
        <v>60</v>
      </c>
      <c r="F63" s="13" t="s">
        <v>72</v>
      </c>
      <c r="G63" s="13" t="s">
        <v>147</v>
      </c>
      <c r="H63" s="15">
        <v>8</v>
      </c>
      <c r="I63" s="16">
        <v>999</v>
      </c>
      <c r="J63" s="17">
        <v>0.05</v>
      </c>
      <c r="K63" s="16">
        <f t="shared" si="0"/>
        <v>7592.4</v>
      </c>
      <c r="L63" s="13" t="s">
        <v>74</v>
      </c>
      <c r="M63" s="13" t="s">
        <v>58</v>
      </c>
      <c r="N63" s="37" t="str">
        <f t="shared" si="1"/>
        <v>Feb-26</v>
      </c>
    </row>
    <row r="64" spans="1:14" ht="15" customHeight="1" x14ac:dyDescent="0.35">
      <c r="A64" s="34" t="s">
        <v>184</v>
      </c>
      <c r="B64" s="9">
        <v>46057</v>
      </c>
      <c r="C64" s="8" t="s">
        <v>70</v>
      </c>
      <c r="D64" s="8" t="s">
        <v>124</v>
      </c>
      <c r="E64" s="8" t="s">
        <v>81</v>
      </c>
      <c r="F64" s="8" t="s">
        <v>67</v>
      </c>
      <c r="G64" s="8" t="s">
        <v>114</v>
      </c>
      <c r="H64" s="10">
        <v>12</v>
      </c>
      <c r="I64" s="11">
        <v>1779</v>
      </c>
      <c r="J64" s="12">
        <v>0.1</v>
      </c>
      <c r="K64" s="11">
        <f t="shared" si="0"/>
        <v>19213.2</v>
      </c>
      <c r="L64" s="8" t="s">
        <v>74</v>
      </c>
      <c r="M64" s="8" t="s">
        <v>58</v>
      </c>
      <c r="N64" s="36" t="str">
        <f t="shared" si="1"/>
        <v>Feb-26</v>
      </c>
    </row>
    <row r="65" spans="1:14" ht="15" customHeight="1" x14ac:dyDescent="0.35">
      <c r="A65" s="35" t="s">
        <v>185</v>
      </c>
      <c r="B65" s="14">
        <v>46058</v>
      </c>
      <c r="C65" s="13" t="s">
        <v>70</v>
      </c>
      <c r="D65" s="13" t="s">
        <v>111</v>
      </c>
      <c r="E65" s="13" t="s">
        <v>81</v>
      </c>
      <c r="F65" s="13" t="s">
        <v>77</v>
      </c>
      <c r="G65" s="13" t="s">
        <v>129</v>
      </c>
      <c r="H65" s="15">
        <v>4</v>
      </c>
      <c r="I65" s="16">
        <v>1059</v>
      </c>
      <c r="J65" s="17">
        <v>0.1</v>
      </c>
      <c r="K65" s="16">
        <f t="shared" si="0"/>
        <v>3812.4</v>
      </c>
      <c r="L65" s="13" t="s">
        <v>63</v>
      </c>
      <c r="M65" s="13" t="s">
        <v>58</v>
      </c>
      <c r="N65" s="37" t="str">
        <f t="shared" si="1"/>
        <v>Feb-26</v>
      </c>
    </row>
    <row r="66" spans="1:14" ht="15" customHeight="1" x14ac:dyDescent="0.35">
      <c r="A66" s="34" t="s">
        <v>186</v>
      </c>
      <c r="B66" s="9">
        <v>46058</v>
      </c>
      <c r="C66" s="8" t="s">
        <v>70</v>
      </c>
      <c r="D66" s="8" t="s">
        <v>124</v>
      </c>
      <c r="E66" s="8" t="s">
        <v>76</v>
      </c>
      <c r="F66" s="8" t="s">
        <v>55</v>
      </c>
      <c r="G66" s="8" t="s">
        <v>109</v>
      </c>
      <c r="H66" s="10">
        <v>7</v>
      </c>
      <c r="I66" s="11">
        <v>4930</v>
      </c>
      <c r="J66" s="12">
        <v>0</v>
      </c>
      <c r="K66" s="11">
        <f t="shared" si="0"/>
        <v>34510</v>
      </c>
      <c r="L66" s="8" t="s">
        <v>57</v>
      </c>
      <c r="M66" s="8" t="s">
        <v>58</v>
      </c>
      <c r="N66" s="36" t="str">
        <f t="shared" si="1"/>
        <v>Feb-26</v>
      </c>
    </row>
    <row r="67" spans="1:14" ht="15" customHeight="1" x14ac:dyDescent="0.35">
      <c r="A67" s="35" t="s">
        <v>187</v>
      </c>
      <c r="B67" s="14">
        <v>46058</v>
      </c>
      <c r="C67" s="13" t="s">
        <v>59</v>
      </c>
      <c r="D67" s="13" t="s">
        <v>157</v>
      </c>
      <c r="E67" s="13" t="s">
        <v>66</v>
      </c>
      <c r="F67" s="13" t="s">
        <v>72</v>
      </c>
      <c r="G67" s="13" t="s">
        <v>127</v>
      </c>
      <c r="H67" s="15">
        <v>7</v>
      </c>
      <c r="I67" s="16">
        <v>1779</v>
      </c>
      <c r="J67" s="17">
        <v>0.2</v>
      </c>
      <c r="K67" s="16">
        <f t="shared" si="0"/>
        <v>9962.4000000000015</v>
      </c>
      <c r="L67" s="13" t="s">
        <v>69</v>
      </c>
      <c r="M67" s="13" t="s">
        <v>64</v>
      </c>
      <c r="N67" s="37" t="str">
        <f t="shared" si="1"/>
        <v>Feb-26</v>
      </c>
    </row>
    <row r="68" spans="1:14" ht="15" customHeight="1" x14ac:dyDescent="0.35">
      <c r="A68" s="34" t="s">
        <v>188</v>
      </c>
      <c r="B68" s="9">
        <v>46059</v>
      </c>
      <c r="C68" s="8" t="s">
        <v>59</v>
      </c>
      <c r="D68" s="8" t="s">
        <v>157</v>
      </c>
      <c r="E68" s="8" t="s">
        <v>71</v>
      </c>
      <c r="F68" s="8" t="s">
        <v>61</v>
      </c>
      <c r="G68" s="8" t="s">
        <v>154</v>
      </c>
      <c r="H68" s="10">
        <v>2</v>
      </c>
      <c r="I68" s="11">
        <v>2329</v>
      </c>
      <c r="J68" s="12">
        <v>0</v>
      </c>
      <c r="K68" s="11">
        <f t="shared" ref="K68:K131" si="2">H68*I68*(1-J68)</f>
        <v>4658</v>
      </c>
      <c r="L68" s="8" t="s">
        <v>74</v>
      </c>
      <c r="M68" s="8" t="s">
        <v>58</v>
      </c>
      <c r="N68" s="36" t="str">
        <f t="shared" ref="N68:N131" si="3">TEXT(B68,"mmm-yy")</f>
        <v>Feb-26</v>
      </c>
    </row>
    <row r="69" spans="1:14" ht="15" customHeight="1" x14ac:dyDescent="0.35">
      <c r="A69" s="35" t="s">
        <v>189</v>
      </c>
      <c r="B69" s="14">
        <v>46059</v>
      </c>
      <c r="C69" s="13" t="s">
        <v>70</v>
      </c>
      <c r="D69" s="13" t="s">
        <v>124</v>
      </c>
      <c r="E69" s="13" t="s">
        <v>81</v>
      </c>
      <c r="F69" s="13" t="s">
        <v>61</v>
      </c>
      <c r="G69" s="13" t="s">
        <v>133</v>
      </c>
      <c r="H69" s="15">
        <v>2</v>
      </c>
      <c r="I69" s="16">
        <v>1779</v>
      </c>
      <c r="J69" s="17">
        <v>0.1</v>
      </c>
      <c r="K69" s="16">
        <f t="shared" si="2"/>
        <v>3202.2000000000003</v>
      </c>
      <c r="L69" s="13" t="s">
        <v>57</v>
      </c>
      <c r="M69" s="13" t="s">
        <v>64</v>
      </c>
      <c r="N69" s="37" t="str">
        <f t="shared" si="3"/>
        <v>Feb-26</v>
      </c>
    </row>
    <row r="70" spans="1:14" ht="15" customHeight="1" x14ac:dyDescent="0.35">
      <c r="A70" s="34" t="s">
        <v>190</v>
      </c>
      <c r="B70" s="9">
        <v>46060</v>
      </c>
      <c r="C70" s="8" t="s">
        <v>53</v>
      </c>
      <c r="D70" s="8" t="s">
        <v>99</v>
      </c>
      <c r="E70" s="8" t="s">
        <v>79</v>
      </c>
      <c r="F70" s="8" t="s">
        <v>77</v>
      </c>
      <c r="G70" s="8" t="s">
        <v>106</v>
      </c>
      <c r="H70" s="10">
        <v>8</v>
      </c>
      <c r="I70" s="11">
        <v>719</v>
      </c>
      <c r="J70" s="12">
        <v>0.1</v>
      </c>
      <c r="K70" s="11">
        <f t="shared" si="2"/>
        <v>5176.8</v>
      </c>
      <c r="L70" s="8" t="s">
        <v>57</v>
      </c>
      <c r="M70" s="8" t="s">
        <v>58</v>
      </c>
      <c r="N70" s="36" t="str">
        <f t="shared" si="3"/>
        <v>Feb-26</v>
      </c>
    </row>
    <row r="71" spans="1:14" ht="15" customHeight="1" x14ac:dyDescent="0.35">
      <c r="A71" s="35" t="s">
        <v>191</v>
      </c>
      <c r="B71" s="14">
        <v>46060</v>
      </c>
      <c r="C71" s="13" t="s">
        <v>53</v>
      </c>
      <c r="D71" s="13" t="s">
        <v>99</v>
      </c>
      <c r="E71" s="13" t="s">
        <v>79</v>
      </c>
      <c r="F71" s="13" t="s">
        <v>61</v>
      </c>
      <c r="G71" s="13" t="s">
        <v>133</v>
      </c>
      <c r="H71" s="15">
        <v>10</v>
      </c>
      <c r="I71" s="16">
        <v>839</v>
      </c>
      <c r="J71" s="17">
        <v>0.05</v>
      </c>
      <c r="K71" s="16">
        <f t="shared" si="2"/>
        <v>7970.5</v>
      </c>
      <c r="L71" s="13" t="s">
        <v>69</v>
      </c>
      <c r="M71" s="13" t="s">
        <v>58</v>
      </c>
      <c r="N71" s="37" t="str">
        <f t="shared" si="3"/>
        <v>Feb-26</v>
      </c>
    </row>
    <row r="72" spans="1:14" ht="15" customHeight="1" x14ac:dyDescent="0.35">
      <c r="A72" s="34" t="s">
        <v>192</v>
      </c>
      <c r="B72" s="9">
        <v>46061</v>
      </c>
      <c r="C72" s="8" t="s">
        <v>53</v>
      </c>
      <c r="D72" s="8" t="s">
        <v>105</v>
      </c>
      <c r="E72" s="8" t="s">
        <v>79</v>
      </c>
      <c r="F72" s="8" t="s">
        <v>67</v>
      </c>
      <c r="G72" s="8" t="s">
        <v>114</v>
      </c>
      <c r="H72" s="10">
        <v>1</v>
      </c>
      <c r="I72" s="11">
        <v>1249</v>
      </c>
      <c r="J72" s="12">
        <v>0.15</v>
      </c>
      <c r="K72" s="11">
        <f t="shared" si="2"/>
        <v>1061.6499999999999</v>
      </c>
      <c r="L72" s="8" t="s">
        <v>57</v>
      </c>
      <c r="M72" s="8" t="s">
        <v>58</v>
      </c>
      <c r="N72" s="36" t="str">
        <f t="shared" si="3"/>
        <v>Feb-26</v>
      </c>
    </row>
    <row r="73" spans="1:14" ht="15" customHeight="1" x14ac:dyDescent="0.35">
      <c r="A73" s="35" t="s">
        <v>193</v>
      </c>
      <c r="B73" s="14">
        <v>46061</v>
      </c>
      <c r="C73" s="13" t="s">
        <v>59</v>
      </c>
      <c r="D73" s="13" t="s">
        <v>102</v>
      </c>
      <c r="E73" s="13" t="s">
        <v>66</v>
      </c>
      <c r="F73" s="13" t="s">
        <v>77</v>
      </c>
      <c r="G73" s="13" t="s">
        <v>119</v>
      </c>
      <c r="H73" s="15">
        <v>1</v>
      </c>
      <c r="I73" s="16">
        <v>1559</v>
      </c>
      <c r="J73" s="17">
        <v>0.1</v>
      </c>
      <c r="K73" s="16">
        <f t="shared" si="2"/>
        <v>1403.1000000000001</v>
      </c>
      <c r="L73" s="13" t="s">
        <v>57</v>
      </c>
      <c r="M73" s="13" t="s">
        <v>58</v>
      </c>
      <c r="N73" s="37" t="str">
        <f t="shared" si="3"/>
        <v>Feb-26</v>
      </c>
    </row>
    <row r="74" spans="1:14" ht="15" customHeight="1" x14ac:dyDescent="0.35">
      <c r="A74" s="34" t="s">
        <v>194</v>
      </c>
      <c r="B74" s="9">
        <v>46062</v>
      </c>
      <c r="C74" s="8" t="s">
        <v>70</v>
      </c>
      <c r="D74" s="8" t="s">
        <v>111</v>
      </c>
      <c r="E74" s="8" t="s">
        <v>81</v>
      </c>
      <c r="F74" s="8" t="s">
        <v>72</v>
      </c>
      <c r="G74" s="8" t="s">
        <v>127</v>
      </c>
      <c r="H74" s="10">
        <v>8</v>
      </c>
      <c r="I74" s="11">
        <v>1410</v>
      </c>
      <c r="J74" s="12">
        <v>0</v>
      </c>
      <c r="K74" s="11">
        <f t="shared" si="2"/>
        <v>11280</v>
      </c>
      <c r="L74" s="8" t="s">
        <v>57</v>
      </c>
      <c r="M74" s="8" t="s">
        <v>58</v>
      </c>
      <c r="N74" s="36" t="str">
        <f t="shared" si="3"/>
        <v>Feb-26</v>
      </c>
    </row>
    <row r="75" spans="1:14" ht="15" customHeight="1" x14ac:dyDescent="0.35">
      <c r="A75" s="35" t="s">
        <v>195</v>
      </c>
      <c r="B75" s="14">
        <v>46062</v>
      </c>
      <c r="C75" s="13" t="s">
        <v>65</v>
      </c>
      <c r="D75" s="13" t="s">
        <v>96</v>
      </c>
      <c r="E75" s="13" t="s">
        <v>60</v>
      </c>
      <c r="F75" s="13" t="s">
        <v>61</v>
      </c>
      <c r="G75" s="13" t="s">
        <v>154</v>
      </c>
      <c r="H75" s="15">
        <v>3</v>
      </c>
      <c r="I75" s="16">
        <v>1710</v>
      </c>
      <c r="J75" s="17">
        <v>0.05</v>
      </c>
      <c r="K75" s="16">
        <f t="shared" si="2"/>
        <v>4873.5</v>
      </c>
      <c r="L75" s="13" t="s">
        <v>57</v>
      </c>
      <c r="M75" s="13" t="s">
        <v>64</v>
      </c>
      <c r="N75" s="37" t="str">
        <f t="shared" si="3"/>
        <v>Feb-26</v>
      </c>
    </row>
    <row r="76" spans="1:14" ht="15" customHeight="1" x14ac:dyDescent="0.35">
      <c r="A76" s="34" t="s">
        <v>196</v>
      </c>
      <c r="B76" s="9">
        <v>46063</v>
      </c>
      <c r="C76" s="8" t="s">
        <v>70</v>
      </c>
      <c r="D76" s="8" t="s">
        <v>124</v>
      </c>
      <c r="E76" s="8" t="s">
        <v>76</v>
      </c>
      <c r="F76" s="8" t="s">
        <v>77</v>
      </c>
      <c r="G76" s="8" t="s">
        <v>106</v>
      </c>
      <c r="H76" s="10">
        <v>11</v>
      </c>
      <c r="I76" s="11">
        <v>1169</v>
      </c>
      <c r="J76" s="12">
        <v>0.1</v>
      </c>
      <c r="K76" s="11">
        <f t="shared" si="2"/>
        <v>11573.1</v>
      </c>
      <c r="L76" s="8" t="s">
        <v>57</v>
      </c>
      <c r="M76" s="8" t="s">
        <v>58</v>
      </c>
      <c r="N76" s="36" t="str">
        <f t="shared" si="3"/>
        <v>Feb-26</v>
      </c>
    </row>
    <row r="77" spans="1:14" ht="15" customHeight="1" x14ac:dyDescent="0.35">
      <c r="A77" s="35" t="s">
        <v>197</v>
      </c>
      <c r="B77" s="14">
        <v>46065</v>
      </c>
      <c r="C77" s="13" t="s">
        <v>53</v>
      </c>
      <c r="D77" s="13" t="s">
        <v>108</v>
      </c>
      <c r="E77" s="13" t="s">
        <v>79</v>
      </c>
      <c r="F77" s="13" t="s">
        <v>77</v>
      </c>
      <c r="G77" s="13" t="s">
        <v>149</v>
      </c>
      <c r="H77" s="15">
        <v>10</v>
      </c>
      <c r="I77" s="16">
        <v>669</v>
      </c>
      <c r="J77" s="17">
        <v>0</v>
      </c>
      <c r="K77" s="16">
        <f t="shared" si="2"/>
        <v>6690</v>
      </c>
      <c r="L77" s="13" t="s">
        <v>63</v>
      </c>
      <c r="M77" s="13" t="s">
        <v>58</v>
      </c>
      <c r="N77" s="37" t="str">
        <f t="shared" si="3"/>
        <v>Feb-26</v>
      </c>
    </row>
    <row r="78" spans="1:14" ht="15" customHeight="1" x14ac:dyDescent="0.35">
      <c r="A78" s="34" t="s">
        <v>198</v>
      </c>
      <c r="B78" s="9">
        <v>46065</v>
      </c>
      <c r="C78" s="8" t="s">
        <v>59</v>
      </c>
      <c r="D78" s="8" t="s">
        <v>175</v>
      </c>
      <c r="E78" s="8" t="s">
        <v>71</v>
      </c>
      <c r="F78" s="8" t="s">
        <v>61</v>
      </c>
      <c r="G78" s="8" t="s">
        <v>133</v>
      </c>
      <c r="H78" s="10">
        <v>12</v>
      </c>
      <c r="I78" s="11">
        <v>2289</v>
      </c>
      <c r="J78" s="12">
        <v>0</v>
      </c>
      <c r="K78" s="11">
        <f t="shared" si="2"/>
        <v>27468</v>
      </c>
      <c r="L78" s="8" t="s">
        <v>57</v>
      </c>
      <c r="M78" s="8" t="s">
        <v>58</v>
      </c>
      <c r="N78" s="36" t="str">
        <f t="shared" si="3"/>
        <v>Feb-26</v>
      </c>
    </row>
    <row r="79" spans="1:14" ht="15" customHeight="1" x14ac:dyDescent="0.35">
      <c r="A79" s="35" t="s">
        <v>199</v>
      </c>
      <c r="B79" s="14">
        <v>46066</v>
      </c>
      <c r="C79" s="13" t="s">
        <v>70</v>
      </c>
      <c r="D79" s="13" t="s">
        <v>111</v>
      </c>
      <c r="E79" s="13" t="s">
        <v>76</v>
      </c>
      <c r="F79" s="13" t="s">
        <v>72</v>
      </c>
      <c r="G79" s="13" t="s">
        <v>166</v>
      </c>
      <c r="H79" s="15">
        <v>2</v>
      </c>
      <c r="I79" s="16">
        <v>1859</v>
      </c>
      <c r="J79" s="17">
        <v>0</v>
      </c>
      <c r="K79" s="16">
        <f t="shared" si="2"/>
        <v>3718</v>
      </c>
      <c r="L79" s="13" t="s">
        <v>57</v>
      </c>
      <c r="M79" s="13" t="s">
        <v>58</v>
      </c>
      <c r="N79" s="37" t="str">
        <f t="shared" si="3"/>
        <v>Feb-26</v>
      </c>
    </row>
    <row r="80" spans="1:14" ht="15" customHeight="1" x14ac:dyDescent="0.35">
      <c r="A80" s="34" t="s">
        <v>200</v>
      </c>
      <c r="B80" s="9">
        <v>46067</v>
      </c>
      <c r="C80" s="8" t="s">
        <v>53</v>
      </c>
      <c r="D80" s="8" t="s">
        <v>108</v>
      </c>
      <c r="E80" s="8" t="s">
        <v>54</v>
      </c>
      <c r="F80" s="8" t="s">
        <v>67</v>
      </c>
      <c r="G80" s="8" t="s">
        <v>103</v>
      </c>
      <c r="H80" s="10">
        <v>1</v>
      </c>
      <c r="I80" s="11">
        <v>2159</v>
      </c>
      <c r="J80" s="12">
        <v>0</v>
      </c>
      <c r="K80" s="11">
        <f t="shared" si="2"/>
        <v>2159</v>
      </c>
      <c r="L80" s="8" t="s">
        <v>57</v>
      </c>
      <c r="M80" s="8" t="s">
        <v>64</v>
      </c>
      <c r="N80" s="36" t="str">
        <f t="shared" si="3"/>
        <v>Feb-26</v>
      </c>
    </row>
    <row r="81" spans="1:14" ht="15" customHeight="1" x14ac:dyDescent="0.35">
      <c r="A81" s="35" t="s">
        <v>201</v>
      </c>
      <c r="B81" s="14">
        <v>46067</v>
      </c>
      <c r="C81" s="13" t="s">
        <v>53</v>
      </c>
      <c r="D81" s="13" t="s">
        <v>105</v>
      </c>
      <c r="E81" s="13" t="s">
        <v>79</v>
      </c>
      <c r="F81" s="13" t="s">
        <v>67</v>
      </c>
      <c r="G81" s="13" t="s">
        <v>100</v>
      </c>
      <c r="H81" s="15">
        <v>3</v>
      </c>
      <c r="I81" s="16">
        <v>2739</v>
      </c>
      <c r="J81" s="17">
        <v>0.1</v>
      </c>
      <c r="K81" s="16">
        <f t="shared" si="2"/>
        <v>7395.3</v>
      </c>
      <c r="L81" s="13" t="s">
        <v>74</v>
      </c>
      <c r="M81" s="13" t="s">
        <v>58</v>
      </c>
      <c r="N81" s="37" t="str">
        <f t="shared" si="3"/>
        <v>Feb-26</v>
      </c>
    </row>
    <row r="82" spans="1:14" ht="15" customHeight="1" x14ac:dyDescent="0.35">
      <c r="A82" s="34" t="s">
        <v>202</v>
      </c>
      <c r="B82" s="9">
        <v>46069</v>
      </c>
      <c r="C82" s="8" t="s">
        <v>59</v>
      </c>
      <c r="D82" s="8" t="s">
        <v>157</v>
      </c>
      <c r="E82" s="8" t="s">
        <v>71</v>
      </c>
      <c r="F82" s="8" t="s">
        <v>72</v>
      </c>
      <c r="G82" s="8" t="s">
        <v>147</v>
      </c>
      <c r="H82" s="10">
        <v>11</v>
      </c>
      <c r="I82" s="11">
        <v>1729</v>
      </c>
      <c r="J82" s="12">
        <v>0.15</v>
      </c>
      <c r="K82" s="11">
        <f t="shared" si="2"/>
        <v>16166.15</v>
      </c>
      <c r="L82" s="8" t="s">
        <v>69</v>
      </c>
      <c r="M82" s="8" t="s">
        <v>58</v>
      </c>
      <c r="N82" s="36" t="str">
        <f t="shared" si="3"/>
        <v>Feb-26</v>
      </c>
    </row>
    <row r="83" spans="1:14" ht="15" customHeight="1" x14ac:dyDescent="0.35">
      <c r="A83" s="35" t="s">
        <v>203</v>
      </c>
      <c r="B83" s="14">
        <v>46069</v>
      </c>
      <c r="C83" s="13" t="s">
        <v>59</v>
      </c>
      <c r="D83" s="13" t="s">
        <v>157</v>
      </c>
      <c r="E83" s="13" t="s">
        <v>71</v>
      </c>
      <c r="F83" s="13" t="s">
        <v>77</v>
      </c>
      <c r="G83" s="13" t="s">
        <v>119</v>
      </c>
      <c r="H83" s="15">
        <v>11</v>
      </c>
      <c r="I83" s="16">
        <v>679</v>
      </c>
      <c r="J83" s="17">
        <v>0.15</v>
      </c>
      <c r="K83" s="16">
        <f t="shared" si="2"/>
        <v>6348.65</v>
      </c>
      <c r="L83" s="13" t="s">
        <v>69</v>
      </c>
      <c r="M83" s="13" t="s">
        <v>64</v>
      </c>
      <c r="N83" s="37" t="str">
        <f t="shared" si="3"/>
        <v>Feb-26</v>
      </c>
    </row>
    <row r="84" spans="1:14" ht="15" customHeight="1" x14ac:dyDescent="0.35">
      <c r="A84" s="34" t="s">
        <v>204</v>
      </c>
      <c r="B84" s="9">
        <v>46071</v>
      </c>
      <c r="C84" s="8" t="s">
        <v>70</v>
      </c>
      <c r="D84" s="8" t="s">
        <v>111</v>
      </c>
      <c r="E84" s="8" t="s">
        <v>81</v>
      </c>
      <c r="F84" s="8" t="s">
        <v>72</v>
      </c>
      <c r="G84" s="8" t="s">
        <v>166</v>
      </c>
      <c r="H84" s="10">
        <v>5</v>
      </c>
      <c r="I84" s="11">
        <v>890</v>
      </c>
      <c r="J84" s="12">
        <v>0.2</v>
      </c>
      <c r="K84" s="11">
        <f t="shared" si="2"/>
        <v>3560</v>
      </c>
      <c r="L84" s="8" t="s">
        <v>69</v>
      </c>
      <c r="M84" s="8" t="s">
        <v>58</v>
      </c>
      <c r="N84" s="36" t="str">
        <f t="shared" si="3"/>
        <v>Feb-26</v>
      </c>
    </row>
    <row r="85" spans="1:14" ht="15" customHeight="1" x14ac:dyDescent="0.35">
      <c r="A85" s="35" t="s">
        <v>205</v>
      </c>
      <c r="B85" s="14">
        <v>46073</v>
      </c>
      <c r="C85" s="13" t="s">
        <v>70</v>
      </c>
      <c r="D85" s="13" t="s">
        <v>93</v>
      </c>
      <c r="E85" s="13" t="s">
        <v>81</v>
      </c>
      <c r="F85" s="13" t="s">
        <v>61</v>
      </c>
      <c r="G85" s="13" t="s">
        <v>133</v>
      </c>
      <c r="H85" s="15">
        <v>4</v>
      </c>
      <c r="I85" s="16">
        <v>2169</v>
      </c>
      <c r="J85" s="17">
        <v>0</v>
      </c>
      <c r="K85" s="16">
        <f t="shared" si="2"/>
        <v>8676</v>
      </c>
      <c r="L85" s="13" t="s">
        <v>57</v>
      </c>
      <c r="M85" s="13" t="s">
        <v>58</v>
      </c>
      <c r="N85" s="37" t="str">
        <f t="shared" si="3"/>
        <v>Feb-26</v>
      </c>
    </row>
    <row r="86" spans="1:14" ht="15" customHeight="1" x14ac:dyDescent="0.35">
      <c r="A86" s="34" t="s">
        <v>206</v>
      </c>
      <c r="B86" s="9">
        <v>46074</v>
      </c>
      <c r="C86" s="8" t="s">
        <v>59</v>
      </c>
      <c r="D86" s="8" t="s">
        <v>175</v>
      </c>
      <c r="E86" s="8" t="s">
        <v>71</v>
      </c>
      <c r="F86" s="8" t="s">
        <v>72</v>
      </c>
      <c r="G86" s="8" t="s">
        <v>144</v>
      </c>
      <c r="H86" s="10">
        <v>8</v>
      </c>
      <c r="I86" s="11">
        <v>2689</v>
      </c>
      <c r="J86" s="12">
        <v>0</v>
      </c>
      <c r="K86" s="11">
        <f t="shared" si="2"/>
        <v>21512</v>
      </c>
      <c r="L86" s="8" t="s">
        <v>57</v>
      </c>
      <c r="M86" s="8" t="s">
        <v>58</v>
      </c>
      <c r="N86" s="36" t="str">
        <f t="shared" si="3"/>
        <v>Feb-26</v>
      </c>
    </row>
    <row r="87" spans="1:14" ht="15" customHeight="1" x14ac:dyDescent="0.35">
      <c r="A87" s="35" t="s">
        <v>207</v>
      </c>
      <c r="B87" s="14">
        <v>46074</v>
      </c>
      <c r="C87" s="13" t="s">
        <v>53</v>
      </c>
      <c r="D87" s="13" t="s">
        <v>105</v>
      </c>
      <c r="E87" s="13" t="s">
        <v>54</v>
      </c>
      <c r="F87" s="13" t="s">
        <v>77</v>
      </c>
      <c r="G87" s="13" t="s">
        <v>106</v>
      </c>
      <c r="H87" s="15">
        <v>11</v>
      </c>
      <c r="I87" s="16">
        <v>709</v>
      </c>
      <c r="J87" s="17">
        <v>0.05</v>
      </c>
      <c r="K87" s="16">
        <f t="shared" si="2"/>
        <v>7409.0499999999993</v>
      </c>
      <c r="L87" s="13" t="s">
        <v>69</v>
      </c>
      <c r="M87" s="13" t="s">
        <v>58</v>
      </c>
      <c r="N87" s="37" t="str">
        <f t="shared" si="3"/>
        <v>Feb-26</v>
      </c>
    </row>
    <row r="88" spans="1:14" ht="15" customHeight="1" x14ac:dyDescent="0.35">
      <c r="A88" s="34" t="s">
        <v>208</v>
      </c>
      <c r="B88" s="9">
        <v>46075</v>
      </c>
      <c r="C88" s="8" t="s">
        <v>65</v>
      </c>
      <c r="D88" s="8" t="s">
        <v>135</v>
      </c>
      <c r="E88" s="8" t="s">
        <v>82</v>
      </c>
      <c r="F88" s="8" t="s">
        <v>61</v>
      </c>
      <c r="G88" s="8" t="s">
        <v>154</v>
      </c>
      <c r="H88" s="10">
        <v>2</v>
      </c>
      <c r="I88" s="11">
        <v>2279</v>
      </c>
      <c r="J88" s="12">
        <v>0</v>
      </c>
      <c r="K88" s="11">
        <f t="shared" si="2"/>
        <v>4558</v>
      </c>
      <c r="L88" s="8" t="s">
        <v>63</v>
      </c>
      <c r="M88" s="8" t="s">
        <v>64</v>
      </c>
      <c r="N88" s="36" t="str">
        <f t="shared" si="3"/>
        <v>Feb-26</v>
      </c>
    </row>
    <row r="89" spans="1:14" ht="15" customHeight="1" x14ac:dyDescent="0.35">
      <c r="A89" s="35" t="s">
        <v>209</v>
      </c>
      <c r="B89" s="14">
        <v>46075</v>
      </c>
      <c r="C89" s="13" t="s">
        <v>59</v>
      </c>
      <c r="D89" s="13" t="s">
        <v>175</v>
      </c>
      <c r="E89" s="13" t="s">
        <v>71</v>
      </c>
      <c r="F89" s="13" t="s">
        <v>72</v>
      </c>
      <c r="G89" s="13" t="s">
        <v>166</v>
      </c>
      <c r="H89" s="15">
        <v>12</v>
      </c>
      <c r="I89" s="16">
        <v>1019</v>
      </c>
      <c r="J89" s="17">
        <v>0.05</v>
      </c>
      <c r="K89" s="16">
        <f t="shared" si="2"/>
        <v>11616.6</v>
      </c>
      <c r="L89" s="13" t="s">
        <v>57</v>
      </c>
      <c r="M89" s="13" t="s">
        <v>58</v>
      </c>
      <c r="N89" s="37" t="str">
        <f t="shared" si="3"/>
        <v>Feb-26</v>
      </c>
    </row>
    <row r="90" spans="1:14" ht="15" customHeight="1" x14ac:dyDescent="0.35">
      <c r="A90" s="34" t="s">
        <v>210</v>
      </c>
      <c r="B90" s="9">
        <v>46075</v>
      </c>
      <c r="C90" s="8" t="s">
        <v>65</v>
      </c>
      <c r="D90" s="8" t="s">
        <v>135</v>
      </c>
      <c r="E90" s="8" t="s">
        <v>60</v>
      </c>
      <c r="F90" s="8" t="s">
        <v>72</v>
      </c>
      <c r="G90" s="8" t="s">
        <v>147</v>
      </c>
      <c r="H90" s="10">
        <v>2</v>
      </c>
      <c r="I90" s="11">
        <v>2059</v>
      </c>
      <c r="J90" s="12">
        <v>0</v>
      </c>
      <c r="K90" s="11">
        <f t="shared" si="2"/>
        <v>4118</v>
      </c>
      <c r="L90" s="8" t="s">
        <v>57</v>
      </c>
      <c r="M90" s="8" t="s">
        <v>58</v>
      </c>
      <c r="N90" s="36" t="str">
        <f t="shared" si="3"/>
        <v>Feb-26</v>
      </c>
    </row>
    <row r="91" spans="1:14" ht="15" customHeight="1" x14ac:dyDescent="0.35">
      <c r="A91" s="35" t="s">
        <v>211</v>
      </c>
      <c r="B91" s="14">
        <v>46076</v>
      </c>
      <c r="C91" s="13" t="s">
        <v>59</v>
      </c>
      <c r="D91" s="13" t="s">
        <v>175</v>
      </c>
      <c r="E91" s="13" t="s">
        <v>71</v>
      </c>
      <c r="F91" s="13" t="s">
        <v>61</v>
      </c>
      <c r="G91" s="13" t="s">
        <v>125</v>
      </c>
      <c r="H91" s="15">
        <v>3</v>
      </c>
      <c r="I91" s="16">
        <v>719</v>
      </c>
      <c r="J91" s="17">
        <v>0.05</v>
      </c>
      <c r="K91" s="16">
        <f t="shared" si="2"/>
        <v>2049.15</v>
      </c>
      <c r="L91" s="13" t="s">
        <v>57</v>
      </c>
      <c r="M91" s="13" t="s">
        <v>58</v>
      </c>
      <c r="N91" s="37" t="str">
        <f t="shared" si="3"/>
        <v>Feb-26</v>
      </c>
    </row>
    <row r="92" spans="1:14" ht="15" customHeight="1" x14ac:dyDescent="0.35">
      <c r="A92" s="34" t="s">
        <v>212</v>
      </c>
      <c r="B92" s="9">
        <v>46077</v>
      </c>
      <c r="C92" s="8" t="s">
        <v>65</v>
      </c>
      <c r="D92" s="8" t="s">
        <v>96</v>
      </c>
      <c r="E92" s="8" t="s">
        <v>82</v>
      </c>
      <c r="F92" s="8" t="s">
        <v>55</v>
      </c>
      <c r="G92" s="8" t="s">
        <v>97</v>
      </c>
      <c r="H92" s="10">
        <v>7</v>
      </c>
      <c r="I92" s="11">
        <v>1929</v>
      </c>
      <c r="J92" s="12">
        <v>0.15</v>
      </c>
      <c r="K92" s="11">
        <f t="shared" si="2"/>
        <v>11477.55</v>
      </c>
      <c r="L92" s="8" t="s">
        <v>57</v>
      </c>
      <c r="M92" s="8" t="s">
        <v>64</v>
      </c>
      <c r="N92" s="36" t="str">
        <f t="shared" si="3"/>
        <v>Feb-26</v>
      </c>
    </row>
    <row r="93" spans="1:14" ht="15" customHeight="1" x14ac:dyDescent="0.35">
      <c r="A93" s="35" t="s">
        <v>213</v>
      </c>
      <c r="B93" s="14">
        <v>46077</v>
      </c>
      <c r="C93" s="13" t="s">
        <v>65</v>
      </c>
      <c r="D93" s="13" t="s">
        <v>135</v>
      </c>
      <c r="E93" s="13" t="s">
        <v>60</v>
      </c>
      <c r="F93" s="13" t="s">
        <v>55</v>
      </c>
      <c r="G93" s="13" t="s">
        <v>112</v>
      </c>
      <c r="H93" s="15">
        <v>5</v>
      </c>
      <c r="I93" s="16">
        <v>1600</v>
      </c>
      <c r="J93" s="17">
        <v>0.2</v>
      </c>
      <c r="K93" s="16">
        <f t="shared" si="2"/>
        <v>6400</v>
      </c>
      <c r="L93" s="13" t="s">
        <v>69</v>
      </c>
      <c r="M93" s="13" t="s">
        <v>58</v>
      </c>
      <c r="N93" s="37" t="str">
        <f t="shared" si="3"/>
        <v>Feb-26</v>
      </c>
    </row>
    <row r="94" spans="1:14" ht="15" customHeight="1" x14ac:dyDescent="0.35">
      <c r="A94" s="34" t="s">
        <v>214</v>
      </c>
      <c r="B94" s="9">
        <v>46077</v>
      </c>
      <c r="C94" s="8" t="s">
        <v>59</v>
      </c>
      <c r="D94" s="8" t="s">
        <v>175</v>
      </c>
      <c r="E94" s="8" t="s">
        <v>66</v>
      </c>
      <c r="F94" s="8" t="s">
        <v>72</v>
      </c>
      <c r="G94" s="8" t="s">
        <v>144</v>
      </c>
      <c r="H94" s="10">
        <v>12</v>
      </c>
      <c r="I94" s="11">
        <v>1989</v>
      </c>
      <c r="J94" s="12">
        <v>0.05</v>
      </c>
      <c r="K94" s="11">
        <f t="shared" si="2"/>
        <v>22674.6</v>
      </c>
      <c r="L94" s="8" t="s">
        <v>57</v>
      </c>
      <c r="M94" s="8" t="s">
        <v>58</v>
      </c>
      <c r="N94" s="36" t="str">
        <f t="shared" si="3"/>
        <v>Feb-26</v>
      </c>
    </row>
    <row r="95" spans="1:14" ht="15" customHeight="1" x14ac:dyDescent="0.35">
      <c r="A95" s="35" t="s">
        <v>215</v>
      </c>
      <c r="B95" s="14">
        <v>46078</v>
      </c>
      <c r="C95" s="13" t="s">
        <v>65</v>
      </c>
      <c r="D95" s="13" t="s">
        <v>116</v>
      </c>
      <c r="E95" s="13" t="s">
        <v>60</v>
      </c>
      <c r="F95" s="13" t="s">
        <v>72</v>
      </c>
      <c r="G95" s="13" t="s">
        <v>147</v>
      </c>
      <c r="H95" s="15">
        <v>2</v>
      </c>
      <c r="I95" s="16">
        <v>2450</v>
      </c>
      <c r="J95" s="17">
        <v>0.15</v>
      </c>
      <c r="K95" s="16">
        <f t="shared" si="2"/>
        <v>4165</v>
      </c>
      <c r="L95" s="13" t="s">
        <v>63</v>
      </c>
      <c r="M95" s="13" t="s">
        <v>64</v>
      </c>
      <c r="N95" s="37" t="str">
        <f t="shared" si="3"/>
        <v>Feb-26</v>
      </c>
    </row>
    <row r="96" spans="1:14" ht="15" customHeight="1" x14ac:dyDescent="0.35">
      <c r="A96" s="34" t="s">
        <v>216</v>
      </c>
      <c r="B96" s="9">
        <v>46078</v>
      </c>
      <c r="C96" s="8" t="s">
        <v>53</v>
      </c>
      <c r="D96" s="8" t="s">
        <v>108</v>
      </c>
      <c r="E96" s="8" t="s">
        <v>54</v>
      </c>
      <c r="F96" s="8" t="s">
        <v>72</v>
      </c>
      <c r="G96" s="8" t="s">
        <v>127</v>
      </c>
      <c r="H96" s="10">
        <v>12</v>
      </c>
      <c r="I96" s="11">
        <v>919</v>
      </c>
      <c r="J96" s="12">
        <v>0.15</v>
      </c>
      <c r="K96" s="11">
        <f t="shared" si="2"/>
        <v>9373.7999999999993</v>
      </c>
      <c r="L96" s="8" t="s">
        <v>63</v>
      </c>
      <c r="M96" s="8" t="s">
        <v>58</v>
      </c>
      <c r="N96" s="36" t="str">
        <f t="shared" si="3"/>
        <v>Feb-26</v>
      </c>
    </row>
    <row r="97" spans="1:14" ht="15" customHeight="1" x14ac:dyDescent="0.35">
      <c r="A97" s="35" t="s">
        <v>217</v>
      </c>
      <c r="B97" s="14">
        <v>46079</v>
      </c>
      <c r="C97" s="13" t="s">
        <v>70</v>
      </c>
      <c r="D97" s="13" t="s">
        <v>124</v>
      </c>
      <c r="E97" s="13" t="s">
        <v>81</v>
      </c>
      <c r="F97" s="13" t="s">
        <v>55</v>
      </c>
      <c r="G97" s="13" t="s">
        <v>112</v>
      </c>
      <c r="H97" s="15">
        <v>2</v>
      </c>
      <c r="I97" s="16">
        <v>4189</v>
      </c>
      <c r="J97" s="17">
        <v>0</v>
      </c>
      <c r="K97" s="16">
        <f t="shared" si="2"/>
        <v>8378</v>
      </c>
      <c r="L97" s="13" t="s">
        <v>57</v>
      </c>
      <c r="M97" s="13" t="s">
        <v>64</v>
      </c>
      <c r="N97" s="37" t="str">
        <f t="shared" si="3"/>
        <v>Feb-26</v>
      </c>
    </row>
    <row r="98" spans="1:14" ht="15" customHeight="1" x14ac:dyDescent="0.35">
      <c r="A98" s="34" t="s">
        <v>218</v>
      </c>
      <c r="B98" s="9">
        <v>46079</v>
      </c>
      <c r="C98" s="8" t="s">
        <v>53</v>
      </c>
      <c r="D98" s="8" t="s">
        <v>105</v>
      </c>
      <c r="E98" s="8" t="s">
        <v>79</v>
      </c>
      <c r="F98" s="8" t="s">
        <v>72</v>
      </c>
      <c r="G98" s="8" t="s">
        <v>147</v>
      </c>
      <c r="H98" s="10">
        <v>6</v>
      </c>
      <c r="I98" s="11">
        <v>2819</v>
      </c>
      <c r="J98" s="12">
        <v>0.05</v>
      </c>
      <c r="K98" s="11">
        <f t="shared" si="2"/>
        <v>16068.3</v>
      </c>
      <c r="L98" s="8" t="s">
        <v>57</v>
      </c>
      <c r="M98" s="8" t="s">
        <v>58</v>
      </c>
      <c r="N98" s="36" t="str">
        <f t="shared" si="3"/>
        <v>Feb-26</v>
      </c>
    </row>
    <row r="99" spans="1:14" ht="15" customHeight="1" x14ac:dyDescent="0.35">
      <c r="A99" s="35" t="s">
        <v>219</v>
      </c>
      <c r="B99" s="14">
        <v>46079</v>
      </c>
      <c r="C99" s="13" t="s">
        <v>65</v>
      </c>
      <c r="D99" s="13" t="s">
        <v>135</v>
      </c>
      <c r="E99" s="13" t="s">
        <v>82</v>
      </c>
      <c r="F99" s="13" t="s">
        <v>77</v>
      </c>
      <c r="G99" s="13" t="s">
        <v>149</v>
      </c>
      <c r="H99" s="15">
        <v>8</v>
      </c>
      <c r="I99" s="16">
        <v>889</v>
      </c>
      <c r="J99" s="17">
        <v>0.05</v>
      </c>
      <c r="K99" s="16">
        <f t="shared" si="2"/>
        <v>6756.4</v>
      </c>
      <c r="L99" s="13" t="s">
        <v>57</v>
      </c>
      <c r="M99" s="13" t="s">
        <v>58</v>
      </c>
      <c r="N99" s="37" t="str">
        <f t="shared" si="3"/>
        <v>Feb-26</v>
      </c>
    </row>
    <row r="100" spans="1:14" ht="15" customHeight="1" x14ac:dyDescent="0.35">
      <c r="A100" s="34" t="s">
        <v>220</v>
      </c>
      <c r="B100" s="9">
        <v>46079</v>
      </c>
      <c r="C100" s="8" t="s">
        <v>65</v>
      </c>
      <c r="D100" s="8" t="s">
        <v>116</v>
      </c>
      <c r="E100" s="8" t="s">
        <v>82</v>
      </c>
      <c r="F100" s="8" t="s">
        <v>67</v>
      </c>
      <c r="G100" s="8" t="s">
        <v>94</v>
      </c>
      <c r="H100" s="10">
        <v>5</v>
      </c>
      <c r="I100" s="11">
        <v>390</v>
      </c>
      <c r="J100" s="12">
        <v>0</v>
      </c>
      <c r="K100" s="11">
        <f t="shared" si="2"/>
        <v>1950</v>
      </c>
      <c r="L100" s="8" t="s">
        <v>57</v>
      </c>
      <c r="M100" s="8" t="s">
        <v>64</v>
      </c>
      <c r="N100" s="36" t="str">
        <f t="shared" si="3"/>
        <v>Feb-26</v>
      </c>
    </row>
    <row r="101" spans="1:14" ht="15" customHeight="1" x14ac:dyDescent="0.35">
      <c r="A101" s="35" t="s">
        <v>221</v>
      </c>
      <c r="B101" s="14">
        <v>46079</v>
      </c>
      <c r="C101" s="13" t="s">
        <v>65</v>
      </c>
      <c r="D101" s="13" t="s">
        <v>96</v>
      </c>
      <c r="E101" s="13" t="s">
        <v>60</v>
      </c>
      <c r="F101" s="13" t="s">
        <v>61</v>
      </c>
      <c r="G101" s="13" t="s">
        <v>154</v>
      </c>
      <c r="H101" s="15">
        <v>12</v>
      </c>
      <c r="I101" s="16">
        <v>2109</v>
      </c>
      <c r="J101" s="17">
        <v>0.2</v>
      </c>
      <c r="K101" s="16">
        <f t="shared" si="2"/>
        <v>20246.400000000001</v>
      </c>
      <c r="L101" s="13" t="s">
        <v>69</v>
      </c>
      <c r="M101" s="13" t="s">
        <v>58</v>
      </c>
      <c r="N101" s="37" t="str">
        <f t="shared" si="3"/>
        <v>Feb-26</v>
      </c>
    </row>
    <row r="102" spans="1:14" ht="15" customHeight="1" x14ac:dyDescent="0.35">
      <c r="A102" s="34" t="s">
        <v>222</v>
      </c>
      <c r="B102" s="9">
        <v>46080</v>
      </c>
      <c r="C102" s="8" t="s">
        <v>59</v>
      </c>
      <c r="D102" s="8" t="s">
        <v>175</v>
      </c>
      <c r="E102" s="8" t="s">
        <v>66</v>
      </c>
      <c r="F102" s="8" t="s">
        <v>67</v>
      </c>
      <c r="G102" s="8" t="s">
        <v>100</v>
      </c>
      <c r="H102" s="10">
        <v>7</v>
      </c>
      <c r="I102" s="11">
        <v>2400</v>
      </c>
      <c r="J102" s="12">
        <v>0</v>
      </c>
      <c r="K102" s="11">
        <f t="shared" si="2"/>
        <v>16800</v>
      </c>
      <c r="L102" s="8" t="s">
        <v>57</v>
      </c>
      <c r="M102" s="8" t="s">
        <v>58</v>
      </c>
      <c r="N102" s="36" t="str">
        <f t="shared" si="3"/>
        <v>Feb-26</v>
      </c>
    </row>
    <row r="103" spans="1:14" ht="15" customHeight="1" x14ac:dyDescent="0.35">
      <c r="A103" s="35" t="s">
        <v>223</v>
      </c>
      <c r="B103" s="14">
        <v>46081</v>
      </c>
      <c r="C103" s="13" t="s">
        <v>70</v>
      </c>
      <c r="D103" s="13" t="s">
        <v>124</v>
      </c>
      <c r="E103" s="13" t="s">
        <v>81</v>
      </c>
      <c r="F103" s="13" t="s">
        <v>72</v>
      </c>
      <c r="G103" s="13" t="s">
        <v>144</v>
      </c>
      <c r="H103" s="15">
        <v>9</v>
      </c>
      <c r="I103" s="16">
        <v>1179</v>
      </c>
      <c r="J103" s="17">
        <v>0.05</v>
      </c>
      <c r="K103" s="16">
        <f t="shared" si="2"/>
        <v>10080.449999999999</v>
      </c>
      <c r="L103" s="13" t="s">
        <v>63</v>
      </c>
      <c r="M103" s="13" t="s">
        <v>58</v>
      </c>
      <c r="N103" s="37" t="str">
        <f t="shared" si="3"/>
        <v>Feb-26</v>
      </c>
    </row>
    <row r="104" spans="1:14" ht="15" customHeight="1" x14ac:dyDescent="0.35">
      <c r="A104" s="34" t="s">
        <v>224</v>
      </c>
      <c r="B104" s="9">
        <v>46082</v>
      </c>
      <c r="C104" s="8" t="s">
        <v>53</v>
      </c>
      <c r="D104" s="8" t="s">
        <v>99</v>
      </c>
      <c r="E104" s="8" t="s">
        <v>79</v>
      </c>
      <c r="F104" s="8" t="s">
        <v>61</v>
      </c>
      <c r="G104" s="8" t="s">
        <v>133</v>
      </c>
      <c r="H104" s="10">
        <v>3</v>
      </c>
      <c r="I104" s="11">
        <v>1950</v>
      </c>
      <c r="J104" s="12">
        <v>0.05</v>
      </c>
      <c r="K104" s="11">
        <f t="shared" si="2"/>
        <v>5557.5</v>
      </c>
      <c r="L104" s="8" t="s">
        <v>57</v>
      </c>
      <c r="M104" s="8" t="s">
        <v>58</v>
      </c>
      <c r="N104" s="36" t="str">
        <f t="shared" si="3"/>
        <v>Mar-26</v>
      </c>
    </row>
    <row r="105" spans="1:14" ht="15" customHeight="1" x14ac:dyDescent="0.35">
      <c r="A105" s="35" t="s">
        <v>225</v>
      </c>
      <c r="B105" s="14">
        <v>46083</v>
      </c>
      <c r="C105" s="13" t="s">
        <v>70</v>
      </c>
      <c r="D105" s="13" t="s">
        <v>124</v>
      </c>
      <c r="E105" s="13" t="s">
        <v>81</v>
      </c>
      <c r="F105" s="13" t="s">
        <v>61</v>
      </c>
      <c r="G105" s="13" t="s">
        <v>154</v>
      </c>
      <c r="H105" s="15">
        <v>10</v>
      </c>
      <c r="I105" s="16">
        <v>860</v>
      </c>
      <c r="J105" s="17">
        <v>0.2</v>
      </c>
      <c r="K105" s="16">
        <f t="shared" si="2"/>
        <v>6880</v>
      </c>
      <c r="L105" s="13" t="s">
        <v>57</v>
      </c>
      <c r="M105" s="13" t="s">
        <v>64</v>
      </c>
      <c r="N105" s="37" t="str">
        <f t="shared" si="3"/>
        <v>Mar-26</v>
      </c>
    </row>
    <row r="106" spans="1:14" ht="15" customHeight="1" x14ac:dyDescent="0.35">
      <c r="A106" s="34" t="s">
        <v>226</v>
      </c>
      <c r="B106" s="9">
        <v>46084</v>
      </c>
      <c r="C106" s="8" t="s">
        <v>70</v>
      </c>
      <c r="D106" s="8" t="s">
        <v>93</v>
      </c>
      <c r="E106" s="8" t="s">
        <v>81</v>
      </c>
      <c r="F106" s="8" t="s">
        <v>67</v>
      </c>
      <c r="G106" s="8" t="s">
        <v>100</v>
      </c>
      <c r="H106" s="10">
        <v>5</v>
      </c>
      <c r="I106" s="11">
        <v>1799</v>
      </c>
      <c r="J106" s="12">
        <v>0</v>
      </c>
      <c r="K106" s="11">
        <f t="shared" si="2"/>
        <v>8995</v>
      </c>
      <c r="L106" s="8" t="s">
        <v>74</v>
      </c>
      <c r="M106" s="8" t="s">
        <v>58</v>
      </c>
      <c r="N106" s="36" t="str">
        <f t="shared" si="3"/>
        <v>Mar-26</v>
      </c>
    </row>
    <row r="107" spans="1:14" ht="15" customHeight="1" x14ac:dyDescent="0.35">
      <c r="A107" s="35" t="s">
        <v>227</v>
      </c>
      <c r="B107" s="14">
        <v>46084</v>
      </c>
      <c r="C107" s="13" t="s">
        <v>65</v>
      </c>
      <c r="D107" s="13" t="s">
        <v>135</v>
      </c>
      <c r="E107" s="13" t="s">
        <v>82</v>
      </c>
      <c r="F107" s="13" t="s">
        <v>67</v>
      </c>
      <c r="G107" s="13" t="s">
        <v>100</v>
      </c>
      <c r="H107" s="15">
        <v>9</v>
      </c>
      <c r="I107" s="16">
        <v>2249</v>
      </c>
      <c r="J107" s="17">
        <v>0.1</v>
      </c>
      <c r="K107" s="16">
        <f t="shared" si="2"/>
        <v>18216.900000000001</v>
      </c>
      <c r="L107" s="13" t="s">
        <v>57</v>
      </c>
      <c r="M107" s="13" t="s">
        <v>58</v>
      </c>
      <c r="N107" s="37" t="str">
        <f t="shared" si="3"/>
        <v>Mar-26</v>
      </c>
    </row>
    <row r="108" spans="1:14" ht="15" customHeight="1" x14ac:dyDescent="0.35">
      <c r="A108" s="34" t="s">
        <v>228</v>
      </c>
      <c r="B108" s="9">
        <v>46085</v>
      </c>
      <c r="C108" s="8" t="s">
        <v>53</v>
      </c>
      <c r="D108" s="8" t="s">
        <v>105</v>
      </c>
      <c r="E108" s="8" t="s">
        <v>54</v>
      </c>
      <c r="F108" s="8" t="s">
        <v>77</v>
      </c>
      <c r="G108" s="8" t="s">
        <v>129</v>
      </c>
      <c r="H108" s="10">
        <v>7</v>
      </c>
      <c r="I108" s="11">
        <v>269</v>
      </c>
      <c r="J108" s="12">
        <v>0.05</v>
      </c>
      <c r="K108" s="11">
        <f t="shared" si="2"/>
        <v>1788.85</v>
      </c>
      <c r="L108" s="8" t="s">
        <v>57</v>
      </c>
      <c r="M108" s="8" t="s">
        <v>64</v>
      </c>
      <c r="N108" s="36" t="str">
        <f t="shared" si="3"/>
        <v>Mar-26</v>
      </c>
    </row>
    <row r="109" spans="1:14" ht="15" customHeight="1" x14ac:dyDescent="0.35">
      <c r="A109" s="35" t="s">
        <v>229</v>
      </c>
      <c r="B109" s="14">
        <v>46086</v>
      </c>
      <c r="C109" s="13" t="s">
        <v>70</v>
      </c>
      <c r="D109" s="13" t="s">
        <v>124</v>
      </c>
      <c r="E109" s="13" t="s">
        <v>76</v>
      </c>
      <c r="F109" s="13" t="s">
        <v>72</v>
      </c>
      <c r="G109" s="13" t="s">
        <v>147</v>
      </c>
      <c r="H109" s="15">
        <v>9</v>
      </c>
      <c r="I109" s="16">
        <v>1539</v>
      </c>
      <c r="J109" s="17">
        <v>0.1</v>
      </c>
      <c r="K109" s="16">
        <f t="shared" si="2"/>
        <v>12465.9</v>
      </c>
      <c r="L109" s="13" t="s">
        <v>57</v>
      </c>
      <c r="M109" s="13" t="s">
        <v>58</v>
      </c>
      <c r="N109" s="37" t="str">
        <f t="shared" si="3"/>
        <v>Mar-26</v>
      </c>
    </row>
    <row r="110" spans="1:14" ht="15" customHeight="1" x14ac:dyDescent="0.35">
      <c r="A110" s="34" t="s">
        <v>230</v>
      </c>
      <c r="B110" s="9">
        <v>46086</v>
      </c>
      <c r="C110" s="8" t="s">
        <v>53</v>
      </c>
      <c r="D110" s="8" t="s">
        <v>99</v>
      </c>
      <c r="E110" s="8" t="s">
        <v>54</v>
      </c>
      <c r="F110" s="8" t="s">
        <v>55</v>
      </c>
      <c r="G110" s="8" t="s">
        <v>112</v>
      </c>
      <c r="H110" s="10">
        <v>6</v>
      </c>
      <c r="I110" s="11">
        <v>4889</v>
      </c>
      <c r="J110" s="12">
        <v>0.1</v>
      </c>
      <c r="K110" s="11">
        <f t="shared" si="2"/>
        <v>26400.600000000002</v>
      </c>
      <c r="L110" s="8" t="s">
        <v>57</v>
      </c>
      <c r="M110" s="8" t="s">
        <v>58</v>
      </c>
      <c r="N110" s="36" t="str">
        <f t="shared" si="3"/>
        <v>Mar-26</v>
      </c>
    </row>
    <row r="111" spans="1:14" ht="15" customHeight="1" x14ac:dyDescent="0.35">
      <c r="A111" s="35" t="s">
        <v>231</v>
      </c>
      <c r="B111" s="14">
        <v>46087</v>
      </c>
      <c r="C111" s="13" t="s">
        <v>70</v>
      </c>
      <c r="D111" s="13" t="s">
        <v>111</v>
      </c>
      <c r="E111" s="13" t="s">
        <v>76</v>
      </c>
      <c r="F111" s="13" t="s">
        <v>77</v>
      </c>
      <c r="G111" s="13" t="s">
        <v>106</v>
      </c>
      <c r="H111" s="15">
        <v>11</v>
      </c>
      <c r="I111" s="16">
        <v>1020</v>
      </c>
      <c r="J111" s="17">
        <v>0</v>
      </c>
      <c r="K111" s="16">
        <f t="shared" si="2"/>
        <v>11220</v>
      </c>
      <c r="L111" s="13" t="s">
        <v>57</v>
      </c>
      <c r="M111" s="13" t="s">
        <v>58</v>
      </c>
      <c r="N111" s="37" t="str">
        <f t="shared" si="3"/>
        <v>Mar-26</v>
      </c>
    </row>
    <row r="112" spans="1:14" ht="15" customHeight="1" x14ac:dyDescent="0.35">
      <c r="A112" s="34" t="s">
        <v>232</v>
      </c>
      <c r="B112" s="9">
        <v>46088</v>
      </c>
      <c r="C112" s="8" t="s">
        <v>70</v>
      </c>
      <c r="D112" s="8" t="s">
        <v>93</v>
      </c>
      <c r="E112" s="8" t="s">
        <v>76</v>
      </c>
      <c r="F112" s="8" t="s">
        <v>61</v>
      </c>
      <c r="G112" s="8" t="s">
        <v>138</v>
      </c>
      <c r="H112" s="10">
        <v>8</v>
      </c>
      <c r="I112" s="11">
        <v>1679</v>
      </c>
      <c r="J112" s="12">
        <v>0.1</v>
      </c>
      <c r="K112" s="11">
        <f t="shared" si="2"/>
        <v>12088.800000000001</v>
      </c>
      <c r="L112" s="8" t="s">
        <v>57</v>
      </c>
      <c r="M112" s="8" t="s">
        <v>58</v>
      </c>
      <c r="N112" s="36" t="str">
        <f t="shared" si="3"/>
        <v>Mar-26</v>
      </c>
    </row>
    <row r="113" spans="1:14" ht="15" customHeight="1" x14ac:dyDescent="0.35">
      <c r="A113" s="35" t="s">
        <v>233</v>
      </c>
      <c r="B113" s="14">
        <v>46088</v>
      </c>
      <c r="C113" s="13" t="s">
        <v>65</v>
      </c>
      <c r="D113" s="13" t="s">
        <v>96</v>
      </c>
      <c r="E113" s="13" t="s">
        <v>82</v>
      </c>
      <c r="F113" s="13" t="s">
        <v>67</v>
      </c>
      <c r="G113" s="13" t="s">
        <v>100</v>
      </c>
      <c r="H113" s="15">
        <v>7</v>
      </c>
      <c r="I113" s="16">
        <v>2129</v>
      </c>
      <c r="J113" s="17">
        <v>0.05</v>
      </c>
      <c r="K113" s="16">
        <f t="shared" si="2"/>
        <v>14157.849999999999</v>
      </c>
      <c r="L113" s="13" t="s">
        <v>63</v>
      </c>
      <c r="M113" s="13" t="s">
        <v>58</v>
      </c>
      <c r="N113" s="37" t="str">
        <f t="shared" si="3"/>
        <v>Mar-26</v>
      </c>
    </row>
    <row r="114" spans="1:14" ht="15" customHeight="1" x14ac:dyDescent="0.35">
      <c r="A114" s="34" t="s">
        <v>234</v>
      </c>
      <c r="B114" s="9">
        <v>46089</v>
      </c>
      <c r="C114" s="8" t="s">
        <v>53</v>
      </c>
      <c r="D114" s="8" t="s">
        <v>105</v>
      </c>
      <c r="E114" s="8" t="s">
        <v>54</v>
      </c>
      <c r="F114" s="8" t="s">
        <v>55</v>
      </c>
      <c r="G114" s="8" t="s">
        <v>122</v>
      </c>
      <c r="H114" s="10">
        <v>12</v>
      </c>
      <c r="I114" s="11">
        <v>1380</v>
      </c>
      <c r="J114" s="12">
        <v>0</v>
      </c>
      <c r="K114" s="11">
        <f t="shared" si="2"/>
        <v>16560</v>
      </c>
      <c r="L114" s="8" t="s">
        <v>74</v>
      </c>
      <c r="M114" s="8" t="s">
        <v>58</v>
      </c>
      <c r="N114" s="36" t="str">
        <f t="shared" si="3"/>
        <v>Mar-26</v>
      </c>
    </row>
    <row r="115" spans="1:14" ht="15" customHeight="1" x14ac:dyDescent="0.35">
      <c r="A115" s="35" t="s">
        <v>235</v>
      </c>
      <c r="B115" s="14">
        <v>46090</v>
      </c>
      <c r="C115" s="13" t="s">
        <v>59</v>
      </c>
      <c r="D115" s="13" t="s">
        <v>102</v>
      </c>
      <c r="E115" s="13" t="s">
        <v>71</v>
      </c>
      <c r="F115" s="13" t="s">
        <v>55</v>
      </c>
      <c r="G115" s="13" t="s">
        <v>112</v>
      </c>
      <c r="H115" s="15">
        <v>2</v>
      </c>
      <c r="I115" s="16">
        <v>4919</v>
      </c>
      <c r="J115" s="17">
        <v>0</v>
      </c>
      <c r="K115" s="16">
        <f t="shared" si="2"/>
        <v>9838</v>
      </c>
      <c r="L115" s="13" t="s">
        <v>57</v>
      </c>
      <c r="M115" s="13" t="s">
        <v>58</v>
      </c>
      <c r="N115" s="37" t="str">
        <f t="shared" si="3"/>
        <v>Mar-26</v>
      </c>
    </row>
    <row r="116" spans="1:14" ht="15" customHeight="1" x14ac:dyDescent="0.35">
      <c r="A116" s="34" t="s">
        <v>236</v>
      </c>
      <c r="B116" s="9">
        <v>46090</v>
      </c>
      <c r="C116" s="8" t="s">
        <v>65</v>
      </c>
      <c r="D116" s="8" t="s">
        <v>135</v>
      </c>
      <c r="E116" s="8" t="s">
        <v>60</v>
      </c>
      <c r="F116" s="8" t="s">
        <v>67</v>
      </c>
      <c r="G116" s="8" t="s">
        <v>94</v>
      </c>
      <c r="H116" s="10">
        <v>2</v>
      </c>
      <c r="I116" s="11">
        <v>2379</v>
      </c>
      <c r="J116" s="12">
        <v>0</v>
      </c>
      <c r="K116" s="11">
        <f t="shared" si="2"/>
        <v>4758</v>
      </c>
      <c r="L116" s="8" t="s">
        <v>57</v>
      </c>
      <c r="M116" s="8" t="s">
        <v>58</v>
      </c>
      <c r="N116" s="36" t="str">
        <f t="shared" si="3"/>
        <v>Mar-26</v>
      </c>
    </row>
    <row r="117" spans="1:14" ht="15" customHeight="1" x14ac:dyDescent="0.35">
      <c r="A117" s="35" t="s">
        <v>237</v>
      </c>
      <c r="B117" s="14">
        <v>46090</v>
      </c>
      <c r="C117" s="13" t="s">
        <v>70</v>
      </c>
      <c r="D117" s="13" t="s">
        <v>93</v>
      </c>
      <c r="E117" s="13" t="s">
        <v>81</v>
      </c>
      <c r="F117" s="13" t="s">
        <v>55</v>
      </c>
      <c r="G117" s="13" t="s">
        <v>97</v>
      </c>
      <c r="H117" s="15">
        <v>4</v>
      </c>
      <c r="I117" s="16">
        <v>4989</v>
      </c>
      <c r="J117" s="17">
        <v>0.1</v>
      </c>
      <c r="K117" s="16">
        <f t="shared" si="2"/>
        <v>17960.400000000001</v>
      </c>
      <c r="L117" s="13" t="s">
        <v>63</v>
      </c>
      <c r="M117" s="13" t="s">
        <v>64</v>
      </c>
      <c r="N117" s="37" t="str">
        <f t="shared" si="3"/>
        <v>Mar-26</v>
      </c>
    </row>
    <row r="118" spans="1:14" ht="15" customHeight="1" x14ac:dyDescent="0.35">
      <c r="A118" s="34" t="s">
        <v>238</v>
      </c>
      <c r="B118" s="9">
        <v>46091</v>
      </c>
      <c r="C118" s="8" t="s">
        <v>65</v>
      </c>
      <c r="D118" s="8" t="s">
        <v>96</v>
      </c>
      <c r="E118" s="8" t="s">
        <v>60</v>
      </c>
      <c r="F118" s="8" t="s">
        <v>55</v>
      </c>
      <c r="G118" s="8" t="s">
        <v>109</v>
      </c>
      <c r="H118" s="10">
        <v>3</v>
      </c>
      <c r="I118" s="11">
        <v>2809</v>
      </c>
      <c r="J118" s="12">
        <v>0</v>
      </c>
      <c r="K118" s="11">
        <f t="shared" si="2"/>
        <v>8427</v>
      </c>
      <c r="L118" s="8" t="s">
        <v>57</v>
      </c>
      <c r="M118" s="8" t="s">
        <v>58</v>
      </c>
      <c r="N118" s="36" t="str">
        <f t="shared" si="3"/>
        <v>Mar-26</v>
      </c>
    </row>
    <row r="119" spans="1:14" ht="15" customHeight="1" x14ac:dyDescent="0.35">
      <c r="A119" s="35" t="s">
        <v>239</v>
      </c>
      <c r="B119" s="14">
        <v>46091</v>
      </c>
      <c r="C119" s="13" t="s">
        <v>53</v>
      </c>
      <c r="D119" s="13" t="s">
        <v>108</v>
      </c>
      <c r="E119" s="13" t="s">
        <v>79</v>
      </c>
      <c r="F119" s="13" t="s">
        <v>61</v>
      </c>
      <c r="G119" s="13" t="s">
        <v>125</v>
      </c>
      <c r="H119" s="15">
        <v>2</v>
      </c>
      <c r="I119" s="16">
        <v>1509</v>
      </c>
      <c r="J119" s="17">
        <v>0</v>
      </c>
      <c r="K119" s="16">
        <f t="shared" si="2"/>
        <v>3018</v>
      </c>
      <c r="L119" s="13" t="s">
        <v>57</v>
      </c>
      <c r="M119" s="13" t="s">
        <v>64</v>
      </c>
      <c r="N119" s="37" t="str">
        <f t="shared" si="3"/>
        <v>Mar-26</v>
      </c>
    </row>
    <row r="120" spans="1:14" ht="15" customHeight="1" x14ac:dyDescent="0.35">
      <c r="A120" s="34" t="s">
        <v>240</v>
      </c>
      <c r="B120" s="9">
        <v>46092</v>
      </c>
      <c r="C120" s="8" t="s">
        <v>70</v>
      </c>
      <c r="D120" s="8" t="s">
        <v>124</v>
      </c>
      <c r="E120" s="8" t="s">
        <v>81</v>
      </c>
      <c r="F120" s="8" t="s">
        <v>61</v>
      </c>
      <c r="G120" s="8" t="s">
        <v>154</v>
      </c>
      <c r="H120" s="10">
        <v>5</v>
      </c>
      <c r="I120" s="11">
        <v>2289</v>
      </c>
      <c r="J120" s="12">
        <v>0.1</v>
      </c>
      <c r="K120" s="11">
        <f t="shared" si="2"/>
        <v>10300.5</v>
      </c>
      <c r="L120" s="8" t="s">
        <v>63</v>
      </c>
      <c r="M120" s="8" t="s">
        <v>58</v>
      </c>
      <c r="N120" s="36" t="str">
        <f t="shared" si="3"/>
        <v>Mar-26</v>
      </c>
    </row>
    <row r="121" spans="1:14" ht="15" customHeight="1" x14ac:dyDescent="0.35">
      <c r="A121" s="35" t="s">
        <v>241</v>
      </c>
      <c r="B121" s="14">
        <v>46093</v>
      </c>
      <c r="C121" s="13" t="s">
        <v>65</v>
      </c>
      <c r="D121" s="13" t="s">
        <v>96</v>
      </c>
      <c r="E121" s="13" t="s">
        <v>60</v>
      </c>
      <c r="F121" s="13" t="s">
        <v>67</v>
      </c>
      <c r="G121" s="13" t="s">
        <v>100</v>
      </c>
      <c r="H121" s="15">
        <v>8</v>
      </c>
      <c r="I121" s="16">
        <v>1029</v>
      </c>
      <c r="J121" s="17">
        <v>0</v>
      </c>
      <c r="K121" s="16">
        <f t="shared" si="2"/>
        <v>8232</v>
      </c>
      <c r="L121" s="13" t="s">
        <v>69</v>
      </c>
      <c r="M121" s="13" t="s">
        <v>64</v>
      </c>
      <c r="N121" s="37" t="str">
        <f t="shared" si="3"/>
        <v>Mar-26</v>
      </c>
    </row>
    <row r="122" spans="1:14" ht="15" customHeight="1" x14ac:dyDescent="0.35">
      <c r="A122" s="34" t="s">
        <v>242</v>
      </c>
      <c r="B122" s="9">
        <v>46093</v>
      </c>
      <c r="C122" s="8" t="s">
        <v>53</v>
      </c>
      <c r="D122" s="8" t="s">
        <v>108</v>
      </c>
      <c r="E122" s="8" t="s">
        <v>79</v>
      </c>
      <c r="F122" s="8" t="s">
        <v>61</v>
      </c>
      <c r="G122" s="8" t="s">
        <v>133</v>
      </c>
      <c r="H122" s="10">
        <v>10</v>
      </c>
      <c r="I122" s="11">
        <v>940</v>
      </c>
      <c r="J122" s="12">
        <v>0</v>
      </c>
      <c r="K122" s="11">
        <f t="shared" si="2"/>
        <v>9400</v>
      </c>
      <c r="L122" s="8" t="s">
        <v>57</v>
      </c>
      <c r="M122" s="8" t="s">
        <v>58</v>
      </c>
      <c r="N122" s="36" t="str">
        <f t="shared" si="3"/>
        <v>Mar-26</v>
      </c>
    </row>
    <row r="123" spans="1:14" ht="15" customHeight="1" x14ac:dyDescent="0.35">
      <c r="A123" s="35" t="s">
        <v>243</v>
      </c>
      <c r="B123" s="14">
        <v>46093</v>
      </c>
      <c r="C123" s="13" t="s">
        <v>70</v>
      </c>
      <c r="D123" s="13" t="s">
        <v>124</v>
      </c>
      <c r="E123" s="13" t="s">
        <v>81</v>
      </c>
      <c r="F123" s="13" t="s">
        <v>55</v>
      </c>
      <c r="G123" s="13" t="s">
        <v>97</v>
      </c>
      <c r="H123" s="15">
        <v>9</v>
      </c>
      <c r="I123" s="16">
        <v>3569</v>
      </c>
      <c r="J123" s="17">
        <v>0</v>
      </c>
      <c r="K123" s="16">
        <f t="shared" si="2"/>
        <v>32121</v>
      </c>
      <c r="L123" s="13" t="s">
        <v>57</v>
      </c>
      <c r="M123" s="13" t="s">
        <v>58</v>
      </c>
      <c r="N123" s="37" t="str">
        <f t="shared" si="3"/>
        <v>Mar-26</v>
      </c>
    </row>
    <row r="124" spans="1:14" ht="15" customHeight="1" x14ac:dyDescent="0.35">
      <c r="A124" s="34" t="s">
        <v>244</v>
      </c>
      <c r="B124" s="9">
        <v>46094</v>
      </c>
      <c r="C124" s="8" t="s">
        <v>65</v>
      </c>
      <c r="D124" s="8" t="s">
        <v>135</v>
      </c>
      <c r="E124" s="8" t="s">
        <v>82</v>
      </c>
      <c r="F124" s="8" t="s">
        <v>77</v>
      </c>
      <c r="G124" s="8" t="s">
        <v>106</v>
      </c>
      <c r="H124" s="10">
        <v>4</v>
      </c>
      <c r="I124" s="11">
        <v>529</v>
      </c>
      <c r="J124" s="12">
        <v>0</v>
      </c>
      <c r="K124" s="11">
        <f t="shared" si="2"/>
        <v>2116</v>
      </c>
      <c r="L124" s="8" t="s">
        <v>74</v>
      </c>
      <c r="M124" s="8" t="s">
        <v>58</v>
      </c>
      <c r="N124" s="36" t="str">
        <f t="shared" si="3"/>
        <v>Mar-26</v>
      </c>
    </row>
    <row r="125" spans="1:14" ht="15" customHeight="1" x14ac:dyDescent="0.35">
      <c r="A125" s="35" t="s">
        <v>245</v>
      </c>
      <c r="B125" s="14">
        <v>46094</v>
      </c>
      <c r="C125" s="13" t="s">
        <v>65</v>
      </c>
      <c r="D125" s="13" t="s">
        <v>96</v>
      </c>
      <c r="E125" s="13" t="s">
        <v>60</v>
      </c>
      <c r="F125" s="13" t="s">
        <v>67</v>
      </c>
      <c r="G125" s="13" t="s">
        <v>114</v>
      </c>
      <c r="H125" s="15">
        <v>12</v>
      </c>
      <c r="I125" s="16">
        <v>2619</v>
      </c>
      <c r="J125" s="17">
        <v>0.2</v>
      </c>
      <c r="K125" s="16">
        <f t="shared" si="2"/>
        <v>25142.400000000001</v>
      </c>
      <c r="L125" s="13" t="s">
        <v>69</v>
      </c>
      <c r="M125" s="13" t="s">
        <v>58</v>
      </c>
      <c r="N125" s="37" t="str">
        <f t="shared" si="3"/>
        <v>Mar-26</v>
      </c>
    </row>
    <row r="126" spans="1:14" ht="15" customHeight="1" x14ac:dyDescent="0.35">
      <c r="A126" s="34" t="s">
        <v>246</v>
      </c>
      <c r="B126" s="9">
        <v>46094</v>
      </c>
      <c r="C126" s="8" t="s">
        <v>53</v>
      </c>
      <c r="D126" s="8" t="s">
        <v>99</v>
      </c>
      <c r="E126" s="8" t="s">
        <v>54</v>
      </c>
      <c r="F126" s="8" t="s">
        <v>77</v>
      </c>
      <c r="G126" s="8" t="s">
        <v>119</v>
      </c>
      <c r="H126" s="10">
        <v>8</v>
      </c>
      <c r="I126" s="11">
        <v>1320</v>
      </c>
      <c r="J126" s="12">
        <v>0.1</v>
      </c>
      <c r="K126" s="11">
        <f t="shared" si="2"/>
        <v>9504</v>
      </c>
      <c r="L126" s="8" t="s">
        <v>57</v>
      </c>
      <c r="M126" s="8" t="s">
        <v>58</v>
      </c>
      <c r="N126" s="36" t="str">
        <f t="shared" si="3"/>
        <v>Mar-26</v>
      </c>
    </row>
    <row r="127" spans="1:14" ht="15" customHeight="1" x14ac:dyDescent="0.35">
      <c r="A127" s="35" t="s">
        <v>247</v>
      </c>
      <c r="B127" s="14">
        <v>46095</v>
      </c>
      <c r="C127" s="13" t="s">
        <v>53</v>
      </c>
      <c r="D127" s="13" t="s">
        <v>108</v>
      </c>
      <c r="E127" s="13" t="s">
        <v>54</v>
      </c>
      <c r="F127" s="13" t="s">
        <v>55</v>
      </c>
      <c r="G127" s="13" t="s">
        <v>109</v>
      </c>
      <c r="H127" s="15">
        <v>12</v>
      </c>
      <c r="I127" s="16">
        <v>2739</v>
      </c>
      <c r="J127" s="17">
        <v>0.05</v>
      </c>
      <c r="K127" s="16">
        <f t="shared" si="2"/>
        <v>31224.6</v>
      </c>
      <c r="L127" s="13" t="s">
        <v>63</v>
      </c>
      <c r="M127" s="13" t="s">
        <v>58</v>
      </c>
      <c r="N127" s="37" t="str">
        <f t="shared" si="3"/>
        <v>Mar-26</v>
      </c>
    </row>
    <row r="128" spans="1:14" ht="15" customHeight="1" x14ac:dyDescent="0.35">
      <c r="A128" s="34" t="s">
        <v>248</v>
      </c>
      <c r="B128" s="9">
        <v>46095</v>
      </c>
      <c r="C128" s="8" t="s">
        <v>59</v>
      </c>
      <c r="D128" s="8" t="s">
        <v>175</v>
      </c>
      <c r="E128" s="8" t="s">
        <v>71</v>
      </c>
      <c r="F128" s="8" t="s">
        <v>72</v>
      </c>
      <c r="G128" s="8" t="s">
        <v>166</v>
      </c>
      <c r="H128" s="10">
        <v>12</v>
      </c>
      <c r="I128" s="11">
        <v>1959</v>
      </c>
      <c r="J128" s="12">
        <v>0.05</v>
      </c>
      <c r="K128" s="11">
        <f t="shared" si="2"/>
        <v>22332.6</v>
      </c>
      <c r="L128" s="8" t="s">
        <v>57</v>
      </c>
      <c r="M128" s="8" t="s">
        <v>58</v>
      </c>
      <c r="N128" s="36" t="str">
        <f t="shared" si="3"/>
        <v>Mar-26</v>
      </c>
    </row>
    <row r="129" spans="1:14" ht="15" customHeight="1" x14ac:dyDescent="0.35">
      <c r="A129" s="35" t="s">
        <v>249</v>
      </c>
      <c r="B129" s="14">
        <v>46096</v>
      </c>
      <c r="C129" s="13" t="s">
        <v>65</v>
      </c>
      <c r="D129" s="13" t="s">
        <v>96</v>
      </c>
      <c r="E129" s="13" t="s">
        <v>60</v>
      </c>
      <c r="F129" s="13" t="s">
        <v>72</v>
      </c>
      <c r="G129" s="13" t="s">
        <v>144</v>
      </c>
      <c r="H129" s="15">
        <v>1</v>
      </c>
      <c r="I129" s="16">
        <v>1859</v>
      </c>
      <c r="J129" s="17">
        <v>0</v>
      </c>
      <c r="K129" s="16">
        <f t="shared" si="2"/>
        <v>1859</v>
      </c>
      <c r="L129" s="13" t="s">
        <v>57</v>
      </c>
      <c r="M129" s="13" t="s">
        <v>58</v>
      </c>
      <c r="N129" s="37" t="str">
        <f t="shared" si="3"/>
        <v>Mar-26</v>
      </c>
    </row>
    <row r="130" spans="1:14" ht="15" customHeight="1" x14ac:dyDescent="0.35">
      <c r="A130" s="34" t="s">
        <v>250</v>
      </c>
      <c r="B130" s="9">
        <v>46096</v>
      </c>
      <c r="C130" s="8" t="s">
        <v>70</v>
      </c>
      <c r="D130" s="8" t="s">
        <v>93</v>
      </c>
      <c r="E130" s="8" t="s">
        <v>76</v>
      </c>
      <c r="F130" s="8" t="s">
        <v>55</v>
      </c>
      <c r="G130" s="8" t="s">
        <v>112</v>
      </c>
      <c r="H130" s="10">
        <v>3</v>
      </c>
      <c r="I130" s="11">
        <v>1420</v>
      </c>
      <c r="J130" s="12">
        <v>0.2</v>
      </c>
      <c r="K130" s="11">
        <f t="shared" si="2"/>
        <v>3408</v>
      </c>
      <c r="L130" s="8" t="s">
        <v>57</v>
      </c>
      <c r="M130" s="8" t="s">
        <v>58</v>
      </c>
      <c r="N130" s="36" t="str">
        <f t="shared" si="3"/>
        <v>Mar-26</v>
      </c>
    </row>
    <row r="131" spans="1:14" ht="15" customHeight="1" x14ac:dyDescent="0.35">
      <c r="A131" s="35" t="s">
        <v>251</v>
      </c>
      <c r="B131" s="14">
        <v>46097</v>
      </c>
      <c r="C131" s="13" t="s">
        <v>53</v>
      </c>
      <c r="D131" s="13" t="s">
        <v>105</v>
      </c>
      <c r="E131" s="13" t="s">
        <v>54</v>
      </c>
      <c r="F131" s="13" t="s">
        <v>72</v>
      </c>
      <c r="G131" s="13" t="s">
        <v>144</v>
      </c>
      <c r="H131" s="15">
        <v>11</v>
      </c>
      <c r="I131" s="16">
        <v>2959</v>
      </c>
      <c r="J131" s="17">
        <v>0.1</v>
      </c>
      <c r="K131" s="16">
        <f t="shared" si="2"/>
        <v>29294.100000000002</v>
      </c>
      <c r="L131" s="13" t="s">
        <v>63</v>
      </c>
      <c r="M131" s="13" t="s">
        <v>58</v>
      </c>
      <c r="N131" s="37" t="str">
        <f t="shared" si="3"/>
        <v>Mar-26</v>
      </c>
    </row>
    <row r="132" spans="1:14" ht="15" customHeight="1" x14ac:dyDescent="0.35">
      <c r="A132" s="34" t="s">
        <v>252</v>
      </c>
      <c r="B132" s="9">
        <v>46098</v>
      </c>
      <c r="C132" s="8" t="s">
        <v>70</v>
      </c>
      <c r="D132" s="8" t="s">
        <v>93</v>
      </c>
      <c r="E132" s="8" t="s">
        <v>76</v>
      </c>
      <c r="F132" s="8" t="s">
        <v>61</v>
      </c>
      <c r="G132" s="8" t="s">
        <v>133</v>
      </c>
      <c r="H132" s="10">
        <v>5</v>
      </c>
      <c r="I132" s="11">
        <v>999</v>
      </c>
      <c r="J132" s="12">
        <v>0</v>
      </c>
      <c r="K132" s="11">
        <f t="shared" ref="K132:K195" si="4">H132*I132*(1-J132)</f>
        <v>4995</v>
      </c>
      <c r="L132" s="8" t="s">
        <v>63</v>
      </c>
      <c r="M132" s="8" t="s">
        <v>58</v>
      </c>
      <c r="N132" s="36" t="str">
        <f t="shared" ref="N132:N195" si="5">TEXT(B132,"mmm-yy")</f>
        <v>Mar-26</v>
      </c>
    </row>
    <row r="133" spans="1:14" ht="15" customHeight="1" x14ac:dyDescent="0.35">
      <c r="A133" s="35" t="s">
        <v>253</v>
      </c>
      <c r="B133" s="14">
        <v>46098</v>
      </c>
      <c r="C133" s="13" t="s">
        <v>65</v>
      </c>
      <c r="D133" s="13" t="s">
        <v>116</v>
      </c>
      <c r="E133" s="13" t="s">
        <v>82</v>
      </c>
      <c r="F133" s="13" t="s">
        <v>55</v>
      </c>
      <c r="G133" s="13" t="s">
        <v>122</v>
      </c>
      <c r="H133" s="15">
        <v>7</v>
      </c>
      <c r="I133" s="16">
        <v>3299</v>
      </c>
      <c r="J133" s="17">
        <v>0</v>
      </c>
      <c r="K133" s="16">
        <f t="shared" si="4"/>
        <v>23093</v>
      </c>
      <c r="L133" s="13" t="s">
        <v>57</v>
      </c>
      <c r="M133" s="13" t="s">
        <v>58</v>
      </c>
      <c r="N133" s="37" t="str">
        <f t="shared" si="5"/>
        <v>Mar-26</v>
      </c>
    </row>
    <row r="134" spans="1:14" ht="15" customHeight="1" x14ac:dyDescent="0.35">
      <c r="A134" s="34" t="s">
        <v>254</v>
      </c>
      <c r="B134" s="9">
        <v>46099</v>
      </c>
      <c r="C134" s="8" t="s">
        <v>53</v>
      </c>
      <c r="D134" s="8" t="s">
        <v>108</v>
      </c>
      <c r="E134" s="8" t="s">
        <v>54</v>
      </c>
      <c r="F134" s="8" t="s">
        <v>72</v>
      </c>
      <c r="G134" s="8" t="s">
        <v>127</v>
      </c>
      <c r="H134" s="10">
        <v>5</v>
      </c>
      <c r="I134" s="11">
        <v>939</v>
      </c>
      <c r="J134" s="12">
        <v>0</v>
      </c>
      <c r="K134" s="11">
        <f t="shared" si="4"/>
        <v>4695</v>
      </c>
      <c r="L134" s="8" t="s">
        <v>57</v>
      </c>
      <c r="M134" s="8" t="s">
        <v>58</v>
      </c>
      <c r="N134" s="36" t="str">
        <f t="shared" si="5"/>
        <v>Mar-26</v>
      </c>
    </row>
    <row r="135" spans="1:14" ht="15" customHeight="1" x14ac:dyDescent="0.35">
      <c r="A135" s="35" t="s">
        <v>255</v>
      </c>
      <c r="B135" s="14">
        <v>46099</v>
      </c>
      <c r="C135" s="13" t="s">
        <v>70</v>
      </c>
      <c r="D135" s="13" t="s">
        <v>124</v>
      </c>
      <c r="E135" s="13" t="s">
        <v>76</v>
      </c>
      <c r="F135" s="13" t="s">
        <v>61</v>
      </c>
      <c r="G135" s="13" t="s">
        <v>133</v>
      </c>
      <c r="H135" s="15">
        <v>6</v>
      </c>
      <c r="I135" s="16">
        <v>2399</v>
      </c>
      <c r="J135" s="17">
        <v>0</v>
      </c>
      <c r="K135" s="16">
        <f t="shared" si="4"/>
        <v>14394</v>
      </c>
      <c r="L135" s="13" t="s">
        <v>74</v>
      </c>
      <c r="M135" s="13" t="s">
        <v>64</v>
      </c>
      <c r="N135" s="37" t="str">
        <f t="shared" si="5"/>
        <v>Mar-26</v>
      </c>
    </row>
    <row r="136" spans="1:14" ht="15" customHeight="1" x14ac:dyDescent="0.35">
      <c r="A136" s="34" t="s">
        <v>256</v>
      </c>
      <c r="B136" s="9">
        <v>46099</v>
      </c>
      <c r="C136" s="8" t="s">
        <v>65</v>
      </c>
      <c r="D136" s="8" t="s">
        <v>135</v>
      </c>
      <c r="E136" s="8" t="s">
        <v>60</v>
      </c>
      <c r="F136" s="8" t="s">
        <v>67</v>
      </c>
      <c r="G136" s="8" t="s">
        <v>103</v>
      </c>
      <c r="H136" s="10">
        <v>4</v>
      </c>
      <c r="I136" s="11">
        <v>3409</v>
      </c>
      <c r="J136" s="12">
        <v>0.05</v>
      </c>
      <c r="K136" s="11">
        <f t="shared" si="4"/>
        <v>12954.199999999999</v>
      </c>
      <c r="L136" s="8" t="s">
        <v>57</v>
      </c>
      <c r="M136" s="8" t="s">
        <v>64</v>
      </c>
      <c r="N136" s="36" t="str">
        <f t="shared" si="5"/>
        <v>Mar-26</v>
      </c>
    </row>
    <row r="137" spans="1:14" ht="15" customHeight="1" x14ac:dyDescent="0.35">
      <c r="A137" s="35" t="s">
        <v>257</v>
      </c>
      <c r="B137" s="14">
        <v>46099</v>
      </c>
      <c r="C137" s="13" t="s">
        <v>59</v>
      </c>
      <c r="D137" s="13" t="s">
        <v>102</v>
      </c>
      <c r="E137" s="13" t="s">
        <v>66</v>
      </c>
      <c r="F137" s="13" t="s">
        <v>61</v>
      </c>
      <c r="G137" s="13" t="s">
        <v>133</v>
      </c>
      <c r="H137" s="15">
        <v>5</v>
      </c>
      <c r="I137" s="16">
        <v>1129</v>
      </c>
      <c r="J137" s="17">
        <v>0</v>
      </c>
      <c r="K137" s="16">
        <f t="shared" si="4"/>
        <v>5645</v>
      </c>
      <c r="L137" s="13" t="s">
        <v>57</v>
      </c>
      <c r="M137" s="13" t="s">
        <v>58</v>
      </c>
      <c r="N137" s="37" t="str">
        <f t="shared" si="5"/>
        <v>Mar-26</v>
      </c>
    </row>
    <row r="138" spans="1:14" ht="15" customHeight="1" x14ac:dyDescent="0.35">
      <c r="A138" s="34" t="s">
        <v>258</v>
      </c>
      <c r="B138" s="9">
        <v>46100</v>
      </c>
      <c r="C138" s="8" t="s">
        <v>65</v>
      </c>
      <c r="D138" s="8" t="s">
        <v>116</v>
      </c>
      <c r="E138" s="8" t="s">
        <v>60</v>
      </c>
      <c r="F138" s="8" t="s">
        <v>77</v>
      </c>
      <c r="G138" s="8" t="s">
        <v>149</v>
      </c>
      <c r="H138" s="10">
        <v>4</v>
      </c>
      <c r="I138" s="11">
        <v>819</v>
      </c>
      <c r="J138" s="12">
        <v>0.1</v>
      </c>
      <c r="K138" s="11">
        <f t="shared" si="4"/>
        <v>2948.4</v>
      </c>
      <c r="L138" s="8" t="s">
        <v>74</v>
      </c>
      <c r="M138" s="8" t="s">
        <v>58</v>
      </c>
      <c r="N138" s="36" t="str">
        <f t="shared" si="5"/>
        <v>Mar-26</v>
      </c>
    </row>
    <row r="139" spans="1:14" ht="15" customHeight="1" x14ac:dyDescent="0.35">
      <c r="A139" s="35" t="s">
        <v>259</v>
      </c>
      <c r="B139" s="14">
        <v>46100</v>
      </c>
      <c r="C139" s="13" t="s">
        <v>70</v>
      </c>
      <c r="D139" s="13" t="s">
        <v>93</v>
      </c>
      <c r="E139" s="13" t="s">
        <v>76</v>
      </c>
      <c r="F139" s="13" t="s">
        <v>67</v>
      </c>
      <c r="G139" s="13" t="s">
        <v>100</v>
      </c>
      <c r="H139" s="15">
        <v>1</v>
      </c>
      <c r="I139" s="16">
        <v>2739</v>
      </c>
      <c r="J139" s="17">
        <v>0.15</v>
      </c>
      <c r="K139" s="16">
        <f t="shared" si="4"/>
        <v>2328.15</v>
      </c>
      <c r="L139" s="13" t="s">
        <v>57</v>
      </c>
      <c r="M139" s="13" t="s">
        <v>64</v>
      </c>
      <c r="N139" s="37" t="str">
        <f t="shared" si="5"/>
        <v>Mar-26</v>
      </c>
    </row>
    <row r="140" spans="1:14" ht="15" customHeight="1" x14ac:dyDescent="0.35">
      <c r="A140" s="34" t="s">
        <v>260</v>
      </c>
      <c r="B140" s="9">
        <v>46101</v>
      </c>
      <c r="C140" s="8" t="s">
        <v>59</v>
      </c>
      <c r="D140" s="8" t="s">
        <v>157</v>
      </c>
      <c r="E140" s="8" t="s">
        <v>71</v>
      </c>
      <c r="F140" s="8" t="s">
        <v>77</v>
      </c>
      <c r="G140" s="8" t="s">
        <v>149</v>
      </c>
      <c r="H140" s="10">
        <v>11</v>
      </c>
      <c r="I140" s="11">
        <v>399</v>
      </c>
      <c r="J140" s="12">
        <v>0.15</v>
      </c>
      <c r="K140" s="11">
        <f t="shared" si="4"/>
        <v>3730.65</v>
      </c>
      <c r="L140" s="8" t="s">
        <v>57</v>
      </c>
      <c r="M140" s="8" t="s">
        <v>58</v>
      </c>
      <c r="N140" s="36" t="str">
        <f t="shared" si="5"/>
        <v>Mar-26</v>
      </c>
    </row>
    <row r="141" spans="1:14" ht="15" customHeight="1" x14ac:dyDescent="0.35">
      <c r="A141" s="35" t="s">
        <v>261</v>
      </c>
      <c r="B141" s="14">
        <v>46101</v>
      </c>
      <c r="C141" s="13" t="s">
        <v>65</v>
      </c>
      <c r="D141" s="13" t="s">
        <v>135</v>
      </c>
      <c r="E141" s="13" t="s">
        <v>60</v>
      </c>
      <c r="F141" s="13" t="s">
        <v>77</v>
      </c>
      <c r="G141" s="13" t="s">
        <v>129</v>
      </c>
      <c r="H141" s="15">
        <v>8</v>
      </c>
      <c r="I141" s="16">
        <v>1299</v>
      </c>
      <c r="J141" s="17">
        <v>0</v>
      </c>
      <c r="K141" s="16">
        <f t="shared" si="4"/>
        <v>10392</v>
      </c>
      <c r="L141" s="13" t="s">
        <v>57</v>
      </c>
      <c r="M141" s="13" t="s">
        <v>58</v>
      </c>
      <c r="N141" s="37" t="str">
        <f t="shared" si="5"/>
        <v>Mar-26</v>
      </c>
    </row>
    <row r="142" spans="1:14" ht="15" customHeight="1" x14ac:dyDescent="0.35">
      <c r="A142" s="34" t="s">
        <v>262</v>
      </c>
      <c r="B142" s="9">
        <v>46101</v>
      </c>
      <c r="C142" s="8" t="s">
        <v>59</v>
      </c>
      <c r="D142" s="8" t="s">
        <v>175</v>
      </c>
      <c r="E142" s="8" t="s">
        <v>71</v>
      </c>
      <c r="F142" s="8" t="s">
        <v>72</v>
      </c>
      <c r="G142" s="8" t="s">
        <v>144</v>
      </c>
      <c r="H142" s="10">
        <v>4</v>
      </c>
      <c r="I142" s="11">
        <v>1780</v>
      </c>
      <c r="J142" s="12">
        <v>0.2</v>
      </c>
      <c r="K142" s="11">
        <f t="shared" si="4"/>
        <v>5696</v>
      </c>
      <c r="L142" s="8" t="s">
        <v>57</v>
      </c>
      <c r="M142" s="8" t="s">
        <v>58</v>
      </c>
      <c r="N142" s="36" t="str">
        <f t="shared" si="5"/>
        <v>Mar-26</v>
      </c>
    </row>
    <row r="143" spans="1:14" ht="15" customHeight="1" x14ac:dyDescent="0.35">
      <c r="A143" s="35" t="s">
        <v>263</v>
      </c>
      <c r="B143" s="14">
        <v>46102</v>
      </c>
      <c r="C143" s="13" t="s">
        <v>53</v>
      </c>
      <c r="D143" s="13" t="s">
        <v>99</v>
      </c>
      <c r="E143" s="13" t="s">
        <v>79</v>
      </c>
      <c r="F143" s="13" t="s">
        <v>61</v>
      </c>
      <c r="G143" s="13" t="s">
        <v>138</v>
      </c>
      <c r="H143" s="15">
        <v>12</v>
      </c>
      <c r="I143" s="16">
        <v>1469</v>
      </c>
      <c r="J143" s="17">
        <v>0.15</v>
      </c>
      <c r="K143" s="16">
        <f t="shared" si="4"/>
        <v>14983.8</v>
      </c>
      <c r="L143" s="13" t="s">
        <v>57</v>
      </c>
      <c r="M143" s="13" t="s">
        <v>58</v>
      </c>
      <c r="N143" s="37" t="str">
        <f t="shared" si="5"/>
        <v>Mar-26</v>
      </c>
    </row>
    <row r="144" spans="1:14" ht="15" customHeight="1" x14ac:dyDescent="0.35">
      <c r="A144" s="34" t="s">
        <v>264</v>
      </c>
      <c r="B144" s="9">
        <v>46103</v>
      </c>
      <c r="C144" s="8" t="s">
        <v>70</v>
      </c>
      <c r="D144" s="8" t="s">
        <v>124</v>
      </c>
      <c r="E144" s="8" t="s">
        <v>76</v>
      </c>
      <c r="F144" s="8" t="s">
        <v>55</v>
      </c>
      <c r="G144" s="8" t="s">
        <v>122</v>
      </c>
      <c r="H144" s="10">
        <v>5</v>
      </c>
      <c r="I144" s="11">
        <v>1599</v>
      </c>
      <c r="J144" s="12">
        <v>0</v>
      </c>
      <c r="K144" s="11">
        <f t="shared" si="4"/>
        <v>7995</v>
      </c>
      <c r="L144" s="8" t="s">
        <v>57</v>
      </c>
      <c r="M144" s="8" t="s">
        <v>58</v>
      </c>
      <c r="N144" s="36" t="str">
        <f t="shared" si="5"/>
        <v>Mar-26</v>
      </c>
    </row>
    <row r="145" spans="1:14" ht="15" customHeight="1" x14ac:dyDescent="0.35">
      <c r="A145" s="35" t="s">
        <v>265</v>
      </c>
      <c r="B145" s="14">
        <v>46103</v>
      </c>
      <c r="C145" s="13" t="s">
        <v>53</v>
      </c>
      <c r="D145" s="13" t="s">
        <v>99</v>
      </c>
      <c r="E145" s="13" t="s">
        <v>79</v>
      </c>
      <c r="F145" s="13" t="s">
        <v>72</v>
      </c>
      <c r="G145" s="13" t="s">
        <v>147</v>
      </c>
      <c r="H145" s="15">
        <v>5</v>
      </c>
      <c r="I145" s="16">
        <v>2199</v>
      </c>
      <c r="J145" s="17">
        <v>0.15</v>
      </c>
      <c r="K145" s="16">
        <f t="shared" si="4"/>
        <v>9345.75</v>
      </c>
      <c r="L145" s="13" t="s">
        <v>57</v>
      </c>
      <c r="M145" s="13" t="s">
        <v>58</v>
      </c>
      <c r="N145" s="37" t="str">
        <f t="shared" si="5"/>
        <v>Mar-26</v>
      </c>
    </row>
    <row r="146" spans="1:14" ht="15" customHeight="1" x14ac:dyDescent="0.35">
      <c r="A146" s="34" t="s">
        <v>266</v>
      </c>
      <c r="B146" s="9">
        <v>46103</v>
      </c>
      <c r="C146" s="8" t="s">
        <v>59</v>
      </c>
      <c r="D146" s="8" t="s">
        <v>102</v>
      </c>
      <c r="E146" s="8" t="s">
        <v>66</v>
      </c>
      <c r="F146" s="8" t="s">
        <v>72</v>
      </c>
      <c r="G146" s="8" t="s">
        <v>166</v>
      </c>
      <c r="H146" s="10">
        <v>8</v>
      </c>
      <c r="I146" s="11">
        <v>2039</v>
      </c>
      <c r="J146" s="12">
        <v>0.05</v>
      </c>
      <c r="K146" s="11">
        <f t="shared" si="4"/>
        <v>15496.4</v>
      </c>
      <c r="L146" s="8" t="s">
        <v>57</v>
      </c>
      <c r="M146" s="8" t="s">
        <v>58</v>
      </c>
      <c r="N146" s="36" t="str">
        <f t="shared" si="5"/>
        <v>Mar-26</v>
      </c>
    </row>
    <row r="147" spans="1:14" ht="15" customHeight="1" x14ac:dyDescent="0.35">
      <c r="A147" s="35" t="s">
        <v>267</v>
      </c>
      <c r="B147" s="14">
        <v>46104</v>
      </c>
      <c r="C147" s="13" t="s">
        <v>70</v>
      </c>
      <c r="D147" s="13" t="s">
        <v>111</v>
      </c>
      <c r="E147" s="13" t="s">
        <v>76</v>
      </c>
      <c r="F147" s="13" t="s">
        <v>67</v>
      </c>
      <c r="G147" s="13" t="s">
        <v>114</v>
      </c>
      <c r="H147" s="15">
        <v>6</v>
      </c>
      <c r="I147" s="16">
        <v>2039</v>
      </c>
      <c r="J147" s="17">
        <v>0.05</v>
      </c>
      <c r="K147" s="16">
        <f t="shared" si="4"/>
        <v>11622.3</v>
      </c>
      <c r="L147" s="13" t="s">
        <v>69</v>
      </c>
      <c r="M147" s="13" t="s">
        <v>64</v>
      </c>
      <c r="N147" s="37" t="str">
        <f t="shared" si="5"/>
        <v>Mar-26</v>
      </c>
    </row>
    <row r="148" spans="1:14" ht="15" customHeight="1" x14ac:dyDescent="0.35">
      <c r="A148" s="34" t="s">
        <v>268</v>
      </c>
      <c r="B148" s="9">
        <v>46105</v>
      </c>
      <c r="C148" s="8" t="s">
        <v>59</v>
      </c>
      <c r="D148" s="8" t="s">
        <v>157</v>
      </c>
      <c r="E148" s="8" t="s">
        <v>66</v>
      </c>
      <c r="F148" s="8" t="s">
        <v>67</v>
      </c>
      <c r="G148" s="8" t="s">
        <v>100</v>
      </c>
      <c r="H148" s="10">
        <v>10</v>
      </c>
      <c r="I148" s="11">
        <v>1789</v>
      </c>
      <c r="J148" s="12">
        <v>0.2</v>
      </c>
      <c r="K148" s="11">
        <f t="shared" si="4"/>
        <v>14312</v>
      </c>
      <c r="L148" s="8" t="s">
        <v>57</v>
      </c>
      <c r="M148" s="8" t="s">
        <v>58</v>
      </c>
      <c r="N148" s="36" t="str">
        <f t="shared" si="5"/>
        <v>Mar-26</v>
      </c>
    </row>
    <row r="149" spans="1:14" ht="15" customHeight="1" x14ac:dyDescent="0.35">
      <c r="A149" s="35" t="s">
        <v>269</v>
      </c>
      <c r="B149" s="14">
        <v>46105</v>
      </c>
      <c r="C149" s="13" t="s">
        <v>53</v>
      </c>
      <c r="D149" s="13" t="s">
        <v>108</v>
      </c>
      <c r="E149" s="13" t="s">
        <v>79</v>
      </c>
      <c r="F149" s="13" t="s">
        <v>55</v>
      </c>
      <c r="G149" s="13" t="s">
        <v>97</v>
      </c>
      <c r="H149" s="15">
        <v>10</v>
      </c>
      <c r="I149" s="16">
        <v>1659</v>
      </c>
      <c r="J149" s="17">
        <v>0</v>
      </c>
      <c r="K149" s="16">
        <f t="shared" si="4"/>
        <v>16590</v>
      </c>
      <c r="L149" s="13" t="s">
        <v>57</v>
      </c>
      <c r="M149" s="13" t="s">
        <v>64</v>
      </c>
      <c r="N149" s="37" t="str">
        <f t="shared" si="5"/>
        <v>Mar-26</v>
      </c>
    </row>
    <row r="150" spans="1:14" ht="15" customHeight="1" x14ac:dyDescent="0.35">
      <c r="A150" s="34" t="s">
        <v>270</v>
      </c>
      <c r="B150" s="9">
        <v>46105</v>
      </c>
      <c r="C150" s="8" t="s">
        <v>70</v>
      </c>
      <c r="D150" s="8" t="s">
        <v>124</v>
      </c>
      <c r="E150" s="8" t="s">
        <v>76</v>
      </c>
      <c r="F150" s="8" t="s">
        <v>72</v>
      </c>
      <c r="G150" s="8" t="s">
        <v>147</v>
      </c>
      <c r="H150" s="10">
        <v>8</v>
      </c>
      <c r="I150" s="11">
        <v>1360</v>
      </c>
      <c r="J150" s="12">
        <v>0.05</v>
      </c>
      <c r="K150" s="11">
        <f t="shared" si="4"/>
        <v>10336</v>
      </c>
      <c r="L150" s="8" t="s">
        <v>63</v>
      </c>
      <c r="M150" s="8" t="s">
        <v>64</v>
      </c>
      <c r="N150" s="36" t="str">
        <f t="shared" si="5"/>
        <v>Mar-26</v>
      </c>
    </row>
    <row r="151" spans="1:14" ht="15" customHeight="1" x14ac:dyDescent="0.35">
      <c r="A151" s="35" t="s">
        <v>271</v>
      </c>
      <c r="B151" s="14">
        <v>46106</v>
      </c>
      <c r="C151" s="13" t="s">
        <v>59</v>
      </c>
      <c r="D151" s="13" t="s">
        <v>102</v>
      </c>
      <c r="E151" s="13" t="s">
        <v>71</v>
      </c>
      <c r="F151" s="13" t="s">
        <v>72</v>
      </c>
      <c r="G151" s="13" t="s">
        <v>144</v>
      </c>
      <c r="H151" s="15">
        <v>2</v>
      </c>
      <c r="I151" s="16">
        <v>2059</v>
      </c>
      <c r="J151" s="17">
        <v>0.15</v>
      </c>
      <c r="K151" s="16">
        <f t="shared" si="4"/>
        <v>3500.2999999999997</v>
      </c>
      <c r="L151" s="13" t="s">
        <v>57</v>
      </c>
      <c r="M151" s="13" t="s">
        <v>58</v>
      </c>
      <c r="N151" s="37" t="str">
        <f t="shared" si="5"/>
        <v>Mar-26</v>
      </c>
    </row>
    <row r="152" spans="1:14" ht="15" customHeight="1" x14ac:dyDescent="0.35">
      <c r="A152" s="34" t="s">
        <v>272</v>
      </c>
      <c r="B152" s="9">
        <v>46106</v>
      </c>
      <c r="C152" s="8" t="s">
        <v>70</v>
      </c>
      <c r="D152" s="8" t="s">
        <v>111</v>
      </c>
      <c r="E152" s="8" t="s">
        <v>76</v>
      </c>
      <c r="F152" s="8" t="s">
        <v>67</v>
      </c>
      <c r="G152" s="8" t="s">
        <v>94</v>
      </c>
      <c r="H152" s="10">
        <v>2</v>
      </c>
      <c r="I152" s="11">
        <v>849</v>
      </c>
      <c r="J152" s="12">
        <v>0.15</v>
      </c>
      <c r="K152" s="11">
        <f t="shared" si="4"/>
        <v>1443.3</v>
      </c>
      <c r="L152" s="8" t="s">
        <v>63</v>
      </c>
      <c r="M152" s="8" t="s">
        <v>58</v>
      </c>
      <c r="N152" s="36" t="str">
        <f t="shared" si="5"/>
        <v>Mar-26</v>
      </c>
    </row>
    <row r="153" spans="1:14" ht="15" customHeight="1" x14ac:dyDescent="0.35">
      <c r="A153" s="35" t="s">
        <v>273</v>
      </c>
      <c r="B153" s="14">
        <v>46107</v>
      </c>
      <c r="C153" s="13" t="s">
        <v>65</v>
      </c>
      <c r="D153" s="13" t="s">
        <v>116</v>
      </c>
      <c r="E153" s="13" t="s">
        <v>60</v>
      </c>
      <c r="F153" s="13" t="s">
        <v>72</v>
      </c>
      <c r="G153" s="13" t="s">
        <v>144</v>
      </c>
      <c r="H153" s="15">
        <v>2</v>
      </c>
      <c r="I153" s="16">
        <v>2600</v>
      </c>
      <c r="J153" s="17">
        <v>0</v>
      </c>
      <c r="K153" s="16">
        <f t="shared" si="4"/>
        <v>5200</v>
      </c>
      <c r="L153" s="13" t="s">
        <v>57</v>
      </c>
      <c r="M153" s="13" t="s">
        <v>58</v>
      </c>
      <c r="N153" s="37" t="str">
        <f t="shared" si="5"/>
        <v>Mar-26</v>
      </c>
    </row>
    <row r="154" spans="1:14" ht="15" customHeight="1" x14ac:dyDescent="0.35">
      <c r="A154" s="34" t="s">
        <v>274</v>
      </c>
      <c r="B154" s="9">
        <v>46108</v>
      </c>
      <c r="C154" s="8" t="s">
        <v>65</v>
      </c>
      <c r="D154" s="8" t="s">
        <v>135</v>
      </c>
      <c r="E154" s="8" t="s">
        <v>60</v>
      </c>
      <c r="F154" s="8" t="s">
        <v>77</v>
      </c>
      <c r="G154" s="8" t="s">
        <v>149</v>
      </c>
      <c r="H154" s="10">
        <v>4</v>
      </c>
      <c r="I154" s="11">
        <v>1329</v>
      </c>
      <c r="J154" s="12">
        <v>0.15</v>
      </c>
      <c r="K154" s="11">
        <f t="shared" si="4"/>
        <v>4518.5999999999995</v>
      </c>
      <c r="L154" s="8" t="s">
        <v>57</v>
      </c>
      <c r="M154" s="8" t="s">
        <v>64</v>
      </c>
      <c r="N154" s="36" t="str">
        <f t="shared" si="5"/>
        <v>Mar-26</v>
      </c>
    </row>
    <row r="155" spans="1:14" ht="15" customHeight="1" x14ac:dyDescent="0.35">
      <c r="A155" s="35" t="s">
        <v>275</v>
      </c>
      <c r="B155" s="14">
        <v>46108</v>
      </c>
      <c r="C155" s="13" t="s">
        <v>53</v>
      </c>
      <c r="D155" s="13" t="s">
        <v>105</v>
      </c>
      <c r="E155" s="13" t="s">
        <v>79</v>
      </c>
      <c r="F155" s="13" t="s">
        <v>67</v>
      </c>
      <c r="G155" s="13" t="s">
        <v>114</v>
      </c>
      <c r="H155" s="15">
        <v>3</v>
      </c>
      <c r="I155" s="16">
        <v>1039</v>
      </c>
      <c r="J155" s="17">
        <v>0.05</v>
      </c>
      <c r="K155" s="16">
        <f t="shared" si="4"/>
        <v>2961.1499999999996</v>
      </c>
      <c r="L155" s="13" t="s">
        <v>57</v>
      </c>
      <c r="M155" s="13" t="s">
        <v>58</v>
      </c>
      <c r="N155" s="37" t="str">
        <f t="shared" si="5"/>
        <v>Mar-26</v>
      </c>
    </row>
    <row r="156" spans="1:14" ht="15" customHeight="1" x14ac:dyDescent="0.35">
      <c r="A156" s="34" t="s">
        <v>276</v>
      </c>
      <c r="B156" s="9">
        <v>46109</v>
      </c>
      <c r="C156" s="8" t="s">
        <v>65</v>
      </c>
      <c r="D156" s="8" t="s">
        <v>135</v>
      </c>
      <c r="E156" s="8" t="s">
        <v>82</v>
      </c>
      <c r="F156" s="8" t="s">
        <v>72</v>
      </c>
      <c r="G156" s="8" t="s">
        <v>144</v>
      </c>
      <c r="H156" s="10">
        <v>10</v>
      </c>
      <c r="I156" s="11">
        <v>2859</v>
      </c>
      <c r="J156" s="12">
        <v>0</v>
      </c>
      <c r="K156" s="11">
        <f t="shared" si="4"/>
        <v>28590</v>
      </c>
      <c r="L156" s="8" t="s">
        <v>57</v>
      </c>
      <c r="M156" s="8" t="s">
        <v>64</v>
      </c>
      <c r="N156" s="36" t="str">
        <f t="shared" si="5"/>
        <v>Mar-26</v>
      </c>
    </row>
    <row r="157" spans="1:14" ht="15" customHeight="1" x14ac:dyDescent="0.35">
      <c r="A157" s="35" t="s">
        <v>277</v>
      </c>
      <c r="B157" s="14">
        <v>46110</v>
      </c>
      <c r="C157" s="13" t="s">
        <v>70</v>
      </c>
      <c r="D157" s="13" t="s">
        <v>111</v>
      </c>
      <c r="E157" s="13" t="s">
        <v>81</v>
      </c>
      <c r="F157" s="13" t="s">
        <v>72</v>
      </c>
      <c r="G157" s="13" t="s">
        <v>166</v>
      </c>
      <c r="H157" s="15">
        <v>6</v>
      </c>
      <c r="I157" s="16">
        <v>1959</v>
      </c>
      <c r="J157" s="17">
        <v>0.2</v>
      </c>
      <c r="K157" s="16">
        <f t="shared" si="4"/>
        <v>9403.2000000000007</v>
      </c>
      <c r="L157" s="13" t="s">
        <v>57</v>
      </c>
      <c r="M157" s="13" t="s">
        <v>64</v>
      </c>
      <c r="N157" s="37" t="str">
        <f t="shared" si="5"/>
        <v>Mar-26</v>
      </c>
    </row>
    <row r="158" spans="1:14" ht="15" customHeight="1" x14ac:dyDescent="0.35">
      <c r="A158" s="34" t="s">
        <v>278</v>
      </c>
      <c r="B158" s="9">
        <v>46110</v>
      </c>
      <c r="C158" s="8" t="s">
        <v>70</v>
      </c>
      <c r="D158" s="8" t="s">
        <v>124</v>
      </c>
      <c r="E158" s="8" t="s">
        <v>76</v>
      </c>
      <c r="F158" s="8" t="s">
        <v>61</v>
      </c>
      <c r="G158" s="8" t="s">
        <v>125</v>
      </c>
      <c r="H158" s="10">
        <v>11</v>
      </c>
      <c r="I158" s="11">
        <v>1859</v>
      </c>
      <c r="J158" s="12">
        <v>0</v>
      </c>
      <c r="K158" s="11">
        <f t="shared" si="4"/>
        <v>20449</v>
      </c>
      <c r="L158" s="8" t="s">
        <v>57</v>
      </c>
      <c r="M158" s="8" t="s">
        <v>64</v>
      </c>
      <c r="N158" s="36" t="str">
        <f t="shared" si="5"/>
        <v>Mar-26</v>
      </c>
    </row>
    <row r="159" spans="1:14" ht="15" customHeight="1" x14ac:dyDescent="0.35">
      <c r="A159" s="35" t="s">
        <v>279</v>
      </c>
      <c r="B159" s="14">
        <v>46110</v>
      </c>
      <c r="C159" s="13" t="s">
        <v>70</v>
      </c>
      <c r="D159" s="13" t="s">
        <v>124</v>
      </c>
      <c r="E159" s="13" t="s">
        <v>76</v>
      </c>
      <c r="F159" s="13" t="s">
        <v>72</v>
      </c>
      <c r="G159" s="13" t="s">
        <v>166</v>
      </c>
      <c r="H159" s="15">
        <v>12</v>
      </c>
      <c r="I159" s="16">
        <v>2319</v>
      </c>
      <c r="J159" s="17">
        <v>0</v>
      </c>
      <c r="K159" s="16">
        <f t="shared" si="4"/>
        <v>27828</v>
      </c>
      <c r="L159" s="13" t="s">
        <v>57</v>
      </c>
      <c r="M159" s="13" t="s">
        <v>64</v>
      </c>
      <c r="N159" s="37" t="str">
        <f t="shared" si="5"/>
        <v>Mar-26</v>
      </c>
    </row>
    <row r="160" spans="1:14" ht="15" customHeight="1" x14ac:dyDescent="0.35">
      <c r="A160" s="34" t="s">
        <v>280</v>
      </c>
      <c r="B160" s="9">
        <v>46111</v>
      </c>
      <c r="C160" s="8" t="s">
        <v>65</v>
      </c>
      <c r="D160" s="8" t="s">
        <v>96</v>
      </c>
      <c r="E160" s="8" t="s">
        <v>82</v>
      </c>
      <c r="F160" s="8" t="s">
        <v>72</v>
      </c>
      <c r="G160" s="8" t="s">
        <v>147</v>
      </c>
      <c r="H160" s="10">
        <v>1</v>
      </c>
      <c r="I160" s="11">
        <v>2079</v>
      </c>
      <c r="J160" s="12">
        <v>0</v>
      </c>
      <c r="K160" s="11">
        <f t="shared" si="4"/>
        <v>2079</v>
      </c>
      <c r="L160" s="8" t="s">
        <v>57</v>
      </c>
      <c r="M160" s="8" t="s">
        <v>64</v>
      </c>
      <c r="N160" s="36" t="str">
        <f t="shared" si="5"/>
        <v>Mar-26</v>
      </c>
    </row>
    <row r="161" spans="1:14" ht="15" customHeight="1" x14ac:dyDescent="0.35">
      <c r="A161" s="35" t="s">
        <v>281</v>
      </c>
      <c r="B161" s="14">
        <v>46111</v>
      </c>
      <c r="C161" s="13" t="s">
        <v>53</v>
      </c>
      <c r="D161" s="13" t="s">
        <v>99</v>
      </c>
      <c r="E161" s="13" t="s">
        <v>79</v>
      </c>
      <c r="F161" s="13" t="s">
        <v>61</v>
      </c>
      <c r="G161" s="13" t="s">
        <v>133</v>
      </c>
      <c r="H161" s="15">
        <v>8</v>
      </c>
      <c r="I161" s="16">
        <v>1279</v>
      </c>
      <c r="J161" s="17">
        <v>0.1</v>
      </c>
      <c r="K161" s="16">
        <f t="shared" si="4"/>
        <v>9208.8000000000011</v>
      </c>
      <c r="L161" s="13" t="s">
        <v>57</v>
      </c>
      <c r="M161" s="13" t="s">
        <v>58</v>
      </c>
      <c r="N161" s="37" t="str">
        <f t="shared" si="5"/>
        <v>Mar-26</v>
      </c>
    </row>
    <row r="162" spans="1:14" ht="15" customHeight="1" x14ac:dyDescent="0.35">
      <c r="A162" s="34" t="s">
        <v>282</v>
      </c>
      <c r="B162" s="9">
        <v>46112</v>
      </c>
      <c r="C162" s="8" t="s">
        <v>70</v>
      </c>
      <c r="D162" s="8" t="s">
        <v>111</v>
      </c>
      <c r="E162" s="8" t="s">
        <v>81</v>
      </c>
      <c r="F162" s="8" t="s">
        <v>55</v>
      </c>
      <c r="G162" s="8" t="s">
        <v>112</v>
      </c>
      <c r="H162" s="10">
        <v>10</v>
      </c>
      <c r="I162" s="11">
        <v>4990</v>
      </c>
      <c r="J162" s="12">
        <v>0</v>
      </c>
      <c r="K162" s="11">
        <f t="shared" si="4"/>
        <v>49900</v>
      </c>
      <c r="L162" s="8" t="s">
        <v>57</v>
      </c>
      <c r="M162" s="8" t="s">
        <v>58</v>
      </c>
      <c r="N162" s="36" t="str">
        <f t="shared" si="5"/>
        <v>Mar-26</v>
      </c>
    </row>
    <row r="163" spans="1:14" ht="15" customHeight="1" x14ac:dyDescent="0.35">
      <c r="A163" s="35" t="s">
        <v>283</v>
      </c>
      <c r="B163" s="14">
        <v>46112</v>
      </c>
      <c r="C163" s="13" t="s">
        <v>65</v>
      </c>
      <c r="D163" s="13" t="s">
        <v>116</v>
      </c>
      <c r="E163" s="13" t="s">
        <v>82</v>
      </c>
      <c r="F163" s="13" t="s">
        <v>61</v>
      </c>
      <c r="G163" s="13" t="s">
        <v>125</v>
      </c>
      <c r="H163" s="15">
        <v>11</v>
      </c>
      <c r="I163" s="16">
        <v>849</v>
      </c>
      <c r="J163" s="17">
        <v>0</v>
      </c>
      <c r="K163" s="16">
        <f t="shared" si="4"/>
        <v>9339</v>
      </c>
      <c r="L163" s="13" t="s">
        <v>57</v>
      </c>
      <c r="M163" s="13" t="s">
        <v>64</v>
      </c>
      <c r="N163" s="37" t="str">
        <f t="shared" si="5"/>
        <v>Mar-26</v>
      </c>
    </row>
    <row r="164" spans="1:14" ht="15" customHeight="1" x14ac:dyDescent="0.35">
      <c r="A164" s="34" t="s">
        <v>284</v>
      </c>
      <c r="B164" s="9">
        <v>46115</v>
      </c>
      <c r="C164" s="8" t="s">
        <v>70</v>
      </c>
      <c r="D164" s="8" t="s">
        <v>111</v>
      </c>
      <c r="E164" s="8" t="s">
        <v>76</v>
      </c>
      <c r="F164" s="8" t="s">
        <v>61</v>
      </c>
      <c r="G164" s="8" t="s">
        <v>154</v>
      </c>
      <c r="H164" s="10">
        <v>3</v>
      </c>
      <c r="I164" s="11">
        <v>969</v>
      </c>
      <c r="J164" s="12">
        <v>0.1</v>
      </c>
      <c r="K164" s="11">
        <f t="shared" si="4"/>
        <v>2616.3000000000002</v>
      </c>
      <c r="L164" s="8" t="s">
        <v>57</v>
      </c>
      <c r="M164" s="8" t="s">
        <v>58</v>
      </c>
      <c r="N164" s="36" t="str">
        <f t="shared" si="5"/>
        <v>Apr-26</v>
      </c>
    </row>
    <row r="165" spans="1:14" ht="15" customHeight="1" x14ac:dyDescent="0.35">
      <c r="A165" s="35" t="s">
        <v>285</v>
      </c>
      <c r="B165" s="14">
        <v>46115</v>
      </c>
      <c r="C165" s="13" t="s">
        <v>59</v>
      </c>
      <c r="D165" s="13" t="s">
        <v>175</v>
      </c>
      <c r="E165" s="13" t="s">
        <v>71</v>
      </c>
      <c r="F165" s="13" t="s">
        <v>72</v>
      </c>
      <c r="G165" s="13" t="s">
        <v>127</v>
      </c>
      <c r="H165" s="15">
        <v>12</v>
      </c>
      <c r="I165" s="16">
        <v>1959</v>
      </c>
      <c r="J165" s="17">
        <v>0.2</v>
      </c>
      <c r="K165" s="16">
        <f t="shared" si="4"/>
        <v>18806.400000000001</v>
      </c>
      <c r="L165" s="13" t="s">
        <v>69</v>
      </c>
      <c r="M165" s="13" t="s">
        <v>58</v>
      </c>
      <c r="N165" s="37" t="str">
        <f t="shared" si="5"/>
        <v>Apr-26</v>
      </c>
    </row>
    <row r="166" spans="1:14" ht="15" customHeight="1" x14ac:dyDescent="0.35">
      <c r="A166" s="34" t="s">
        <v>286</v>
      </c>
      <c r="B166" s="9">
        <v>46117</v>
      </c>
      <c r="C166" s="8" t="s">
        <v>65</v>
      </c>
      <c r="D166" s="8" t="s">
        <v>116</v>
      </c>
      <c r="E166" s="8" t="s">
        <v>82</v>
      </c>
      <c r="F166" s="8" t="s">
        <v>67</v>
      </c>
      <c r="G166" s="8" t="s">
        <v>103</v>
      </c>
      <c r="H166" s="10">
        <v>7</v>
      </c>
      <c r="I166" s="11">
        <v>2779</v>
      </c>
      <c r="J166" s="12">
        <v>0</v>
      </c>
      <c r="K166" s="11">
        <f t="shared" si="4"/>
        <v>19453</v>
      </c>
      <c r="L166" s="8" t="s">
        <v>57</v>
      </c>
      <c r="M166" s="8" t="s">
        <v>58</v>
      </c>
      <c r="N166" s="36" t="str">
        <f t="shared" si="5"/>
        <v>Apr-26</v>
      </c>
    </row>
    <row r="167" spans="1:14" ht="15" customHeight="1" x14ac:dyDescent="0.35">
      <c r="A167" s="35" t="s">
        <v>287</v>
      </c>
      <c r="B167" s="14">
        <v>46117</v>
      </c>
      <c r="C167" s="13" t="s">
        <v>65</v>
      </c>
      <c r="D167" s="13" t="s">
        <v>135</v>
      </c>
      <c r="E167" s="13" t="s">
        <v>60</v>
      </c>
      <c r="F167" s="13" t="s">
        <v>72</v>
      </c>
      <c r="G167" s="13" t="s">
        <v>147</v>
      </c>
      <c r="H167" s="15">
        <v>2</v>
      </c>
      <c r="I167" s="16">
        <v>2030</v>
      </c>
      <c r="J167" s="17">
        <v>0.05</v>
      </c>
      <c r="K167" s="16">
        <f t="shared" si="4"/>
        <v>3857</v>
      </c>
      <c r="L167" s="13" t="s">
        <v>63</v>
      </c>
      <c r="M167" s="13" t="s">
        <v>58</v>
      </c>
      <c r="N167" s="37" t="str">
        <f t="shared" si="5"/>
        <v>Apr-26</v>
      </c>
    </row>
    <row r="168" spans="1:14" ht="15" customHeight="1" x14ac:dyDescent="0.35">
      <c r="A168" s="34" t="s">
        <v>288</v>
      </c>
      <c r="B168" s="9">
        <v>46118</v>
      </c>
      <c r="C168" s="8" t="s">
        <v>70</v>
      </c>
      <c r="D168" s="8" t="s">
        <v>93</v>
      </c>
      <c r="E168" s="8" t="s">
        <v>76</v>
      </c>
      <c r="F168" s="8" t="s">
        <v>77</v>
      </c>
      <c r="G168" s="8" t="s">
        <v>149</v>
      </c>
      <c r="H168" s="10">
        <v>9</v>
      </c>
      <c r="I168" s="11">
        <v>1429</v>
      </c>
      <c r="J168" s="12">
        <v>0.15</v>
      </c>
      <c r="K168" s="11">
        <f t="shared" si="4"/>
        <v>10931.85</v>
      </c>
      <c r="L168" s="8" t="s">
        <v>57</v>
      </c>
      <c r="M168" s="8" t="s">
        <v>58</v>
      </c>
      <c r="N168" s="36" t="str">
        <f t="shared" si="5"/>
        <v>Apr-26</v>
      </c>
    </row>
    <row r="169" spans="1:14" ht="15" customHeight="1" x14ac:dyDescent="0.35">
      <c r="A169" s="35" t="s">
        <v>289</v>
      </c>
      <c r="B169" s="14">
        <v>46118</v>
      </c>
      <c r="C169" s="13" t="s">
        <v>53</v>
      </c>
      <c r="D169" s="13" t="s">
        <v>99</v>
      </c>
      <c r="E169" s="13" t="s">
        <v>54</v>
      </c>
      <c r="F169" s="13" t="s">
        <v>61</v>
      </c>
      <c r="G169" s="13" t="s">
        <v>154</v>
      </c>
      <c r="H169" s="15">
        <v>6</v>
      </c>
      <c r="I169" s="16">
        <v>1200</v>
      </c>
      <c r="J169" s="17">
        <v>0.1</v>
      </c>
      <c r="K169" s="16">
        <f t="shared" si="4"/>
        <v>6480</v>
      </c>
      <c r="L169" s="13" t="s">
        <v>63</v>
      </c>
      <c r="M169" s="13" t="s">
        <v>64</v>
      </c>
      <c r="N169" s="37" t="str">
        <f t="shared" si="5"/>
        <v>Apr-26</v>
      </c>
    </row>
    <row r="170" spans="1:14" ht="15" customHeight="1" x14ac:dyDescent="0.35">
      <c r="A170" s="34" t="s">
        <v>290</v>
      </c>
      <c r="B170" s="9">
        <v>46118</v>
      </c>
      <c r="C170" s="8" t="s">
        <v>65</v>
      </c>
      <c r="D170" s="8" t="s">
        <v>135</v>
      </c>
      <c r="E170" s="8" t="s">
        <v>82</v>
      </c>
      <c r="F170" s="8" t="s">
        <v>67</v>
      </c>
      <c r="G170" s="8" t="s">
        <v>114</v>
      </c>
      <c r="H170" s="10">
        <v>10</v>
      </c>
      <c r="I170" s="11">
        <v>1019</v>
      </c>
      <c r="J170" s="12">
        <v>0.05</v>
      </c>
      <c r="K170" s="11">
        <f t="shared" si="4"/>
        <v>9680.5</v>
      </c>
      <c r="L170" s="8" t="s">
        <v>57</v>
      </c>
      <c r="M170" s="8" t="s">
        <v>64</v>
      </c>
      <c r="N170" s="36" t="str">
        <f t="shared" si="5"/>
        <v>Apr-26</v>
      </c>
    </row>
    <row r="171" spans="1:14" ht="15" customHeight="1" x14ac:dyDescent="0.35">
      <c r="A171" s="35" t="s">
        <v>291</v>
      </c>
      <c r="B171" s="14">
        <v>46119</v>
      </c>
      <c r="C171" s="13" t="s">
        <v>53</v>
      </c>
      <c r="D171" s="13" t="s">
        <v>105</v>
      </c>
      <c r="E171" s="13" t="s">
        <v>79</v>
      </c>
      <c r="F171" s="13" t="s">
        <v>61</v>
      </c>
      <c r="G171" s="13" t="s">
        <v>133</v>
      </c>
      <c r="H171" s="15">
        <v>11</v>
      </c>
      <c r="I171" s="16">
        <v>2549</v>
      </c>
      <c r="J171" s="17">
        <v>0.05</v>
      </c>
      <c r="K171" s="16">
        <f t="shared" si="4"/>
        <v>26637.05</v>
      </c>
      <c r="L171" s="13" t="s">
        <v>69</v>
      </c>
      <c r="M171" s="13" t="s">
        <v>58</v>
      </c>
      <c r="N171" s="37" t="str">
        <f t="shared" si="5"/>
        <v>Apr-26</v>
      </c>
    </row>
    <row r="172" spans="1:14" ht="15" customHeight="1" x14ac:dyDescent="0.35">
      <c r="A172" s="34" t="s">
        <v>292</v>
      </c>
      <c r="B172" s="9">
        <v>46119</v>
      </c>
      <c r="C172" s="8" t="s">
        <v>59</v>
      </c>
      <c r="D172" s="8" t="s">
        <v>157</v>
      </c>
      <c r="E172" s="8" t="s">
        <v>66</v>
      </c>
      <c r="F172" s="8" t="s">
        <v>55</v>
      </c>
      <c r="G172" s="8" t="s">
        <v>112</v>
      </c>
      <c r="H172" s="10">
        <v>11</v>
      </c>
      <c r="I172" s="11">
        <v>2949</v>
      </c>
      <c r="J172" s="12">
        <v>0</v>
      </c>
      <c r="K172" s="11">
        <f t="shared" si="4"/>
        <v>32439</v>
      </c>
      <c r="L172" s="8" t="s">
        <v>63</v>
      </c>
      <c r="M172" s="8" t="s">
        <v>64</v>
      </c>
      <c r="N172" s="36" t="str">
        <f t="shared" si="5"/>
        <v>Apr-26</v>
      </c>
    </row>
    <row r="173" spans="1:14" ht="15" customHeight="1" x14ac:dyDescent="0.35">
      <c r="A173" s="35" t="s">
        <v>293</v>
      </c>
      <c r="B173" s="14">
        <v>46119</v>
      </c>
      <c r="C173" s="13" t="s">
        <v>59</v>
      </c>
      <c r="D173" s="13" t="s">
        <v>175</v>
      </c>
      <c r="E173" s="13" t="s">
        <v>66</v>
      </c>
      <c r="F173" s="13" t="s">
        <v>55</v>
      </c>
      <c r="G173" s="13" t="s">
        <v>122</v>
      </c>
      <c r="H173" s="15">
        <v>5</v>
      </c>
      <c r="I173" s="16">
        <v>929</v>
      </c>
      <c r="J173" s="17">
        <v>0.2</v>
      </c>
      <c r="K173" s="16">
        <f t="shared" si="4"/>
        <v>3716</v>
      </c>
      <c r="L173" s="13" t="s">
        <v>57</v>
      </c>
      <c r="M173" s="13" t="s">
        <v>58</v>
      </c>
      <c r="N173" s="37" t="str">
        <f t="shared" si="5"/>
        <v>Apr-26</v>
      </c>
    </row>
    <row r="174" spans="1:14" ht="15" customHeight="1" x14ac:dyDescent="0.35">
      <c r="A174" s="34" t="s">
        <v>294</v>
      </c>
      <c r="B174" s="9">
        <v>46120</v>
      </c>
      <c r="C174" s="8" t="s">
        <v>59</v>
      </c>
      <c r="D174" s="8" t="s">
        <v>175</v>
      </c>
      <c r="E174" s="8" t="s">
        <v>66</v>
      </c>
      <c r="F174" s="8" t="s">
        <v>55</v>
      </c>
      <c r="G174" s="8" t="s">
        <v>122</v>
      </c>
      <c r="H174" s="10">
        <v>2</v>
      </c>
      <c r="I174" s="11">
        <v>1449</v>
      </c>
      <c r="J174" s="12">
        <v>0.1</v>
      </c>
      <c r="K174" s="11">
        <f t="shared" si="4"/>
        <v>2608.2000000000003</v>
      </c>
      <c r="L174" s="8" t="s">
        <v>57</v>
      </c>
      <c r="M174" s="8" t="s">
        <v>58</v>
      </c>
      <c r="N174" s="36" t="str">
        <f t="shared" si="5"/>
        <v>Apr-26</v>
      </c>
    </row>
    <row r="175" spans="1:14" ht="15" customHeight="1" x14ac:dyDescent="0.35">
      <c r="A175" s="35" t="s">
        <v>295</v>
      </c>
      <c r="B175" s="14">
        <v>46120</v>
      </c>
      <c r="C175" s="13" t="s">
        <v>70</v>
      </c>
      <c r="D175" s="13" t="s">
        <v>124</v>
      </c>
      <c r="E175" s="13" t="s">
        <v>76</v>
      </c>
      <c r="F175" s="13" t="s">
        <v>67</v>
      </c>
      <c r="G175" s="13" t="s">
        <v>100</v>
      </c>
      <c r="H175" s="15">
        <v>2</v>
      </c>
      <c r="I175" s="16">
        <v>1289</v>
      </c>
      <c r="J175" s="17">
        <v>0</v>
      </c>
      <c r="K175" s="16">
        <f t="shared" si="4"/>
        <v>2578</v>
      </c>
      <c r="L175" s="13" t="s">
        <v>57</v>
      </c>
      <c r="M175" s="13" t="s">
        <v>58</v>
      </c>
      <c r="N175" s="37" t="str">
        <f t="shared" si="5"/>
        <v>Apr-26</v>
      </c>
    </row>
    <row r="176" spans="1:14" ht="15" customHeight="1" x14ac:dyDescent="0.35">
      <c r="A176" s="34" t="s">
        <v>296</v>
      </c>
      <c r="B176" s="9">
        <v>46120</v>
      </c>
      <c r="C176" s="8" t="s">
        <v>65</v>
      </c>
      <c r="D176" s="8" t="s">
        <v>135</v>
      </c>
      <c r="E176" s="8" t="s">
        <v>60</v>
      </c>
      <c r="F176" s="8" t="s">
        <v>72</v>
      </c>
      <c r="G176" s="8" t="s">
        <v>127</v>
      </c>
      <c r="H176" s="10">
        <v>8</v>
      </c>
      <c r="I176" s="11">
        <v>2599</v>
      </c>
      <c r="J176" s="12">
        <v>0.2</v>
      </c>
      <c r="K176" s="11">
        <f t="shared" si="4"/>
        <v>16633.600000000002</v>
      </c>
      <c r="L176" s="8" t="s">
        <v>69</v>
      </c>
      <c r="M176" s="8" t="s">
        <v>58</v>
      </c>
      <c r="N176" s="36" t="str">
        <f t="shared" si="5"/>
        <v>Apr-26</v>
      </c>
    </row>
    <row r="177" spans="1:14" ht="15" customHeight="1" x14ac:dyDescent="0.35">
      <c r="A177" s="35" t="s">
        <v>297</v>
      </c>
      <c r="B177" s="14">
        <v>46120</v>
      </c>
      <c r="C177" s="13" t="s">
        <v>53</v>
      </c>
      <c r="D177" s="13" t="s">
        <v>108</v>
      </c>
      <c r="E177" s="13" t="s">
        <v>79</v>
      </c>
      <c r="F177" s="13" t="s">
        <v>67</v>
      </c>
      <c r="G177" s="13" t="s">
        <v>100</v>
      </c>
      <c r="H177" s="15">
        <v>12</v>
      </c>
      <c r="I177" s="16">
        <v>559</v>
      </c>
      <c r="J177" s="17">
        <v>0</v>
      </c>
      <c r="K177" s="16">
        <f t="shared" si="4"/>
        <v>6708</v>
      </c>
      <c r="L177" s="13" t="s">
        <v>63</v>
      </c>
      <c r="M177" s="13" t="s">
        <v>58</v>
      </c>
      <c r="N177" s="37" t="str">
        <f t="shared" si="5"/>
        <v>Apr-26</v>
      </c>
    </row>
    <row r="178" spans="1:14" ht="15" customHeight="1" x14ac:dyDescent="0.35">
      <c r="A178" s="34" t="s">
        <v>298</v>
      </c>
      <c r="B178" s="9">
        <v>46121</v>
      </c>
      <c r="C178" s="8" t="s">
        <v>65</v>
      </c>
      <c r="D178" s="8" t="s">
        <v>135</v>
      </c>
      <c r="E178" s="8" t="s">
        <v>82</v>
      </c>
      <c r="F178" s="8" t="s">
        <v>67</v>
      </c>
      <c r="G178" s="8" t="s">
        <v>100</v>
      </c>
      <c r="H178" s="10">
        <v>8</v>
      </c>
      <c r="I178" s="11">
        <v>789</v>
      </c>
      <c r="J178" s="12">
        <v>0</v>
      </c>
      <c r="K178" s="11">
        <f t="shared" si="4"/>
        <v>6312</v>
      </c>
      <c r="L178" s="8" t="s">
        <v>57</v>
      </c>
      <c r="M178" s="8" t="s">
        <v>58</v>
      </c>
      <c r="N178" s="36" t="str">
        <f t="shared" si="5"/>
        <v>Apr-26</v>
      </c>
    </row>
    <row r="179" spans="1:14" ht="15" customHeight="1" x14ac:dyDescent="0.35">
      <c r="A179" s="35" t="s">
        <v>299</v>
      </c>
      <c r="B179" s="14">
        <v>46124</v>
      </c>
      <c r="C179" s="13" t="s">
        <v>65</v>
      </c>
      <c r="D179" s="13" t="s">
        <v>135</v>
      </c>
      <c r="E179" s="13" t="s">
        <v>82</v>
      </c>
      <c r="F179" s="13" t="s">
        <v>72</v>
      </c>
      <c r="G179" s="13" t="s">
        <v>127</v>
      </c>
      <c r="H179" s="15">
        <v>8</v>
      </c>
      <c r="I179" s="16">
        <v>1319</v>
      </c>
      <c r="J179" s="17">
        <v>0</v>
      </c>
      <c r="K179" s="16">
        <f t="shared" si="4"/>
        <v>10552</v>
      </c>
      <c r="L179" s="13" t="s">
        <v>57</v>
      </c>
      <c r="M179" s="13" t="s">
        <v>58</v>
      </c>
      <c r="N179" s="37" t="str">
        <f t="shared" si="5"/>
        <v>Apr-26</v>
      </c>
    </row>
    <row r="180" spans="1:14" ht="15" customHeight="1" x14ac:dyDescent="0.35">
      <c r="A180" s="34" t="s">
        <v>300</v>
      </c>
      <c r="B180" s="9">
        <v>46124</v>
      </c>
      <c r="C180" s="8" t="s">
        <v>70</v>
      </c>
      <c r="D180" s="8" t="s">
        <v>93</v>
      </c>
      <c r="E180" s="8" t="s">
        <v>76</v>
      </c>
      <c r="F180" s="8" t="s">
        <v>67</v>
      </c>
      <c r="G180" s="8" t="s">
        <v>100</v>
      </c>
      <c r="H180" s="10">
        <v>12</v>
      </c>
      <c r="I180" s="11">
        <v>2309</v>
      </c>
      <c r="J180" s="12">
        <v>0.05</v>
      </c>
      <c r="K180" s="11">
        <f t="shared" si="4"/>
        <v>26322.6</v>
      </c>
      <c r="L180" s="8" t="s">
        <v>57</v>
      </c>
      <c r="M180" s="8" t="s">
        <v>58</v>
      </c>
      <c r="N180" s="36" t="str">
        <f t="shared" si="5"/>
        <v>Apr-26</v>
      </c>
    </row>
    <row r="181" spans="1:14" ht="15" customHeight="1" x14ac:dyDescent="0.35">
      <c r="A181" s="35" t="s">
        <v>301</v>
      </c>
      <c r="B181" s="14">
        <v>46124</v>
      </c>
      <c r="C181" s="13" t="s">
        <v>70</v>
      </c>
      <c r="D181" s="13" t="s">
        <v>111</v>
      </c>
      <c r="E181" s="13" t="s">
        <v>81</v>
      </c>
      <c r="F181" s="13" t="s">
        <v>72</v>
      </c>
      <c r="G181" s="13" t="s">
        <v>144</v>
      </c>
      <c r="H181" s="15">
        <v>1</v>
      </c>
      <c r="I181" s="16">
        <v>1910</v>
      </c>
      <c r="J181" s="17">
        <v>0</v>
      </c>
      <c r="K181" s="16">
        <f t="shared" si="4"/>
        <v>1910</v>
      </c>
      <c r="L181" s="13" t="s">
        <v>57</v>
      </c>
      <c r="M181" s="13" t="s">
        <v>58</v>
      </c>
      <c r="N181" s="37" t="str">
        <f t="shared" si="5"/>
        <v>Apr-26</v>
      </c>
    </row>
    <row r="182" spans="1:14" ht="15" customHeight="1" x14ac:dyDescent="0.35">
      <c r="A182" s="34" t="s">
        <v>302</v>
      </c>
      <c r="B182" s="9">
        <v>46124</v>
      </c>
      <c r="C182" s="8" t="s">
        <v>53</v>
      </c>
      <c r="D182" s="8" t="s">
        <v>99</v>
      </c>
      <c r="E182" s="8" t="s">
        <v>54</v>
      </c>
      <c r="F182" s="8" t="s">
        <v>77</v>
      </c>
      <c r="G182" s="8" t="s">
        <v>149</v>
      </c>
      <c r="H182" s="10">
        <v>2</v>
      </c>
      <c r="I182" s="11">
        <v>1339</v>
      </c>
      <c r="J182" s="12">
        <v>0.2</v>
      </c>
      <c r="K182" s="11">
        <f t="shared" si="4"/>
        <v>2142.4</v>
      </c>
      <c r="L182" s="8" t="s">
        <v>57</v>
      </c>
      <c r="M182" s="8" t="s">
        <v>64</v>
      </c>
      <c r="N182" s="36" t="str">
        <f t="shared" si="5"/>
        <v>Apr-26</v>
      </c>
    </row>
    <row r="183" spans="1:14" ht="15" customHeight="1" x14ac:dyDescent="0.35">
      <c r="A183" s="35" t="s">
        <v>303</v>
      </c>
      <c r="B183" s="14">
        <v>46124</v>
      </c>
      <c r="C183" s="13" t="s">
        <v>59</v>
      </c>
      <c r="D183" s="13" t="s">
        <v>102</v>
      </c>
      <c r="E183" s="13" t="s">
        <v>71</v>
      </c>
      <c r="F183" s="13" t="s">
        <v>72</v>
      </c>
      <c r="G183" s="13" t="s">
        <v>147</v>
      </c>
      <c r="H183" s="15">
        <v>9</v>
      </c>
      <c r="I183" s="16">
        <v>2269</v>
      </c>
      <c r="J183" s="17">
        <v>0.05</v>
      </c>
      <c r="K183" s="16">
        <f t="shared" si="4"/>
        <v>19399.95</v>
      </c>
      <c r="L183" s="13" t="s">
        <v>57</v>
      </c>
      <c r="M183" s="13" t="s">
        <v>58</v>
      </c>
      <c r="N183" s="37" t="str">
        <f t="shared" si="5"/>
        <v>Apr-26</v>
      </c>
    </row>
    <row r="184" spans="1:14" ht="15" customHeight="1" x14ac:dyDescent="0.35">
      <c r="A184" s="34" t="s">
        <v>304</v>
      </c>
      <c r="B184" s="9">
        <v>46125</v>
      </c>
      <c r="C184" s="8" t="s">
        <v>70</v>
      </c>
      <c r="D184" s="8" t="s">
        <v>124</v>
      </c>
      <c r="E184" s="8" t="s">
        <v>81</v>
      </c>
      <c r="F184" s="8" t="s">
        <v>55</v>
      </c>
      <c r="G184" s="8" t="s">
        <v>122</v>
      </c>
      <c r="H184" s="10">
        <v>2</v>
      </c>
      <c r="I184" s="11">
        <v>4699</v>
      </c>
      <c r="J184" s="12">
        <v>0</v>
      </c>
      <c r="K184" s="11">
        <f t="shared" si="4"/>
        <v>9398</v>
      </c>
      <c r="L184" s="8" t="s">
        <v>57</v>
      </c>
      <c r="M184" s="8" t="s">
        <v>58</v>
      </c>
      <c r="N184" s="36" t="str">
        <f t="shared" si="5"/>
        <v>Apr-26</v>
      </c>
    </row>
    <row r="185" spans="1:14" ht="15" customHeight="1" x14ac:dyDescent="0.35">
      <c r="A185" s="35" t="s">
        <v>305</v>
      </c>
      <c r="B185" s="14">
        <v>46126</v>
      </c>
      <c r="C185" s="13" t="s">
        <v>53</v>
      </c>
      <c r="D185" s="13" t="s">
        <v>108</v>
      </c>
      <c r="E185" s="13" t="s">
        <v>79</v>
      </c>
      <c r="F185" s="13" t="s">
        <v>67</v>
      </c>
      <c r="G185" s="13" t="s">
        <v>103</v>
      </c>
      <c r="H185" s="15">
        <v>7</v>
      </c>
      <c r="I185" s="16">
        <v>1790</v>
      </c>
      <c r="J185" s="17">
        <v>0.1</v>
      </c>
      <c r="K185" s="16">
        <f t="shared" si="4"/>
        <v>11277</v>
      </c>
      <c r="L185" s="13" t="s">
        <v>74</v>
      </c>
      <c r="M185" s="13" t="s">
        <v>58</v>
      </c>
      <c r="N185" s="37" t="str">
        <f t="shared" si="5"/>
        <v>Apr-26</v>
      </c>
    </row>
    <row r="186" spans="1:14" ht="15" customHeight="1" x14ac:dyDescent="0.35">
      <c r="A186" s="34" t="s">
        <v>306</v>
      </c>
      <c r="B186" s="9">
        <v>46126</v>
      </c>
      <c r="C186" s="8" t="s">
        <v>65</v>
      </c>
      <c r="D186" s="8" t="s">
        <v>135</v>
      </c>
      <c r="E186" s="8" t="s">
        <v>82</v>
      </c>
      <c r="F186" s="8" t="s">
        <v>61</v>
      </c>
      <c r="G186" s="8" t="s">
        <v>133</v>
      </c>
      <c r="H186" s="10">
        <v>9</v>
      </c>
      <c r="I186" s="11">
        <v>779</v>
      </c>
      <c r="J186" s="12">
        <v>0</v>
      </c>
      <c r="K186" s="11">
        <f t="shared" si="4"/>
        <v>7011</v>
      </c>
      <c r="L186" s="8" t="s">
        <v>57</v>
      </c>
      <c r="M186" s="8" t="s">
        <v>58</v>
      </c>
      <c r="N186" s="36" t="str">
        <f t="shared" si="5"/>
        <v>Apr-26</v>
      </c>
    </row>
    <row r="187" spans="1:14" ht="15" customHeight="1" x14ac:dyDescent="0.35">
      <c r="A187" s="35" t="s">
        <v>307</v>
      </c>
      <c r="B187" s="14">
        <v>46126</v>
      </c>
      <c r="C187" s="13" t="s">
        <v>59</v>
      </c>
      <c r="D187" s="13" t="s">
        <v>175</v>
      </c>
      <c r="E187" s="13" t="s">
        <v>71</v>
      </c>
      <c r="F187" s="13" t="s">
        <v>67</v>
      </c>
      <c r="G187" s="13" t="s">
        <v>103</v>
      </c>
      <c r="H187" s="15">
        <v>9</v>
      </c>
      <c r="I187" s="16">
        <v>509</v>
      </c>
      <c r="J187" s="17">
        <v>0</v>
      </c>
      <c r="K187" s="16">
        <f t="shared" si="4"/>
        <v>4581</v>
      </c>
      <c r="L187" s="13" t="s">
        <v>74</v>
      </c>
      <c r="M187" s="13" t="s">
        <v>58</v>
      </c>
      <c r="N187" s="37" t="str">
        <f t="shared" si="5"/>
        <v>Apr-26</v>
      </c>
    </row>
    <row r="188" spans="1:14" ht="15" customHeight="1" x14ac:dyDescent="0.35">
      <c r="A188" s="34" t="s">
        <v>308</v>
      </c>
      <c r="B188" s="9">
        <v>46127</v>
      </c>
      <c r="C188" s="8" t="s">
        <v>59</v>
      </c>
      <c r="D188" s="8" t="s">
        <v>157</v>
      </c>
      <c r="E188" s="8" t="s">
        <v>66</v>
      </c>
      <c r="F188" s="8" t="s">
        <v>55</v>
      </c>
      <c r="G188" s="8" t="s">
        <v>97</v>
      </c>
      <c r="H188" s="10">
        <v>10</v>
      </c>
      <c r="I188" s="11">
        <v>2120</v>
      </c>
      <c r="J188" s="12">
        <v>0.1</v>
      </c>
      <c r="K188" s="11">
        <f t="shared" si="4"/>
        <v>19080</v>
      </c>
      <c r="L188" s="8" t="s">
        <v>57</v>
      </c>
      <c r="M188" s="8" t="s">
        <v>58</v>
      </c>
      <c r="N188" s="36" t="str">
        <f t="shared" si="5"/>
        <v>Apr-26</v>
      </c>
    </row>
    <row r="189" spans="1:14" ht="15" customHeight="1" x14ac:dyDescent="0.35">
      <c r="A189" s="35" t="s">
        <v>309</v>
      </c>
      <c r="B189" s="14">
        <v>46127</v>
      </c>
      <c r="C189" s="13" t="s">
        <v>59</v>
      </c>
      <c r="D189" s="13" t="s">
        <v>175</v>
      </c>
      <c r="E189" s="13" t="s">
        <v>71</v>
      </c>
      <c r="F189" s="13" t="s">
        <v>72</v>
      </c>
      <c r="G189" s="13" t="s">
        <v>127</v>
      </c>
      <c r="H189" s="15">
        <v>12</v>
      </c>
      <c r="I189" s="16">
        <v>1609</v>
      </c>
      <c r="J189" s="17">
        <v>0</v>
      </c>
      <c r="K189" s="16">
        <f t="shared" si="4"/>
        <v>19308</v>
      </c>
      <c r="L189" s="13" t="s">
        <v>57</v>
      </c>
      <c r="M189" s="13" t="s">
        <v>64</v>
      </c>
      <c r="N189" s="37" t="str">
        <f t="shared" si="5"/>
        <v>Apr-26</v>
      </c>
    </row>
    <row r="190" spans="1:14" ht="15" customHeight="1" x14ac:dyDescent="0.35">
      <c r="A190" s="34" t="s">
        <v>310</v>
      </c>
      <c r="B190" s="9">
        <v>46129</v>
      </c>
      <c r="C190" s="8" t="s">
        <v>70</v>
      </c>
      <c r="D190" s="8" t="s">
        <v>111</v>
      </c>
      <c r="E190" s="8" t="s">
        <v>81</v>
      </c>
      <c r="F190" s="8" t="s">
        <v>77</v>
      </c>
      <c r="G190" s="8" t="s">
        <v>106</v>
      </c>
      <c r="H190" s="10">
        <v>3</v>
      </c>
      <c r="I190" s="11">
        <v>399</v>
      </c>
      <c r="J190" s="12">
        <v>0</v>
      </c>
      <c r="K190" s="11">
        <f t="shared" si="4"/>
        <v>1197</v>
      </c>
      <c r="L190" s="8" t="s">
        <v>57</v>
      </c>
      <c r="M190" s="8" t="s">
        <v>58</v>
      </c>
      <c r="N190" s="36" t="str">
        <f t="shared" si="5"/>
        <v>Apr-26</v>
      </c>
    </row>
    <row r="191" spans="1:14" ht="15" customHeight="1" x14ac:dyDescent="0.35">
      <c r="A191" s="35" t="s">
        <v>311</v>
      </c>
      <c r="B191" s="14">
        <v>46129</v>
      </c>
      <c r="C191" s="13" t="s">
        <v>59</v>
      </c>
      <c r="D191" s="13" t="s">
        <v>157</v>
      </c>
      <c r="E191" s="13" t="s">
        <v>66</v>
      </c>
      <c r="F191" s="13" t="s">
        <v>72</v>
      </c>
      <c r="G191" s="13" t="s">
        <v>144</v>
      </c>
      <c r="H191" s="15">
        <v>10</v>
      </c>
      <c r="I191" s="16">
        <v>2649</v>
      </c>
      <c r="J191" s="17">
        <v>0</v>
      </c>
      <c r="K191" s="16">
        <f t="shared" si="4"/>
        <v>26490</v>
      </c>
      <c r="L191" s="13" t="s">
        <v>57</v>
      </c>
      <c r="M191" s="13" t="s">
        <v>58</v>
      </c>
      <c r="N191" s="37" t="str">
        <f t="shared" si="5"/>
        <v>Apr-26</v>
      </c>
    </row>
    <row r="192" spans="1:14" ht="15" customHeight="1" x14ac:dyDescent="0.35">
      <c r="A192" s="34" t="s">
        <v>312</v>
      </c>
      <c r="B192" s="9">
        <v>46130</v>
      </c>
      <c r="C192" s="8" t="s">
        <v>70</v>
      </c>
      <c r="D192" s="8" t="s">
        <v>111</v>
      </c>
      <c r="E192" s="8" t="s">
        <v>81</v>
      </c>
      <c r="F192" s="8" t="s">
        <v>77</v>
      </c>
      <c r="G192" s="8" t="s">
        <v>119</v>
      </c>
      <c r="H192" s="10">
        <v>8</v>
      </c>
      <c r="I192" s="11">
        <v>209</v>
      </c>
      <c r="J192" s="12">
        <v>0</v>
      </c>
      <c r="K192" s="11">
        <f t="shared" si="4"/>
        <v>1672</v>
      </c>
      <c r="L192" s="8" t="s">
        <v>57</v>
      </c>
      <c r="M192" s="8" t="s">
        <v>64</v>
      </c>
      <c r="N192" s="36" t="str">
        <f t="shared" si="5"/>
        <v>Apr-26</v>
      </c>
    </row>
    <row r="193" spans="1:14" ht="15" customHeight="1" x14ac:dyDescent="0.35">
      <c r="A193" s="35" t="s">
        <v>313</v>
      </c>
      <c r="B193" s="14">
        <v>46130</v>
      </c>
      <c r="C193" s="13" t="s">
        <v>65</v>
      </c>
      <c r="D193" s="13" t="s">
        <v>135</v>
      </c>
      <c r="E193" s="13" t="s">
        <v>82</v>
      </c>
      <c r="F193" s="13" t="s">
        <v>61</v>
      </c>
      <c r="G193" s="13" t="s">
        <v>154</v>
      </c>
      <c r="H193" s="15">
        <v>2</v>
      </c>
      <c r="I193" s="16">
        <v>900</v>
      </c>
      <c r="J193" s="17">
        <v>0</v>
      </c>
      <c r="K193" s="16">
        <f t="shared" si="4"/>
        <v>1800</v>
      </c>
      <c r="L193" s="13" t="s">
        <v>63</v>
      </c>
      <c r="M193" s="13" t="s">
        <v>58</v>
      </c>
      <c r="N193" s="37" t="str">
        <f t="shared" si="5"/>
        <v>Apr-26</v>
      </c>
    </row>
    <row r="194" spans="1:14" ht="15" customHeight="1" x14ac:dyDescent="0.35">
      <c r="A194" s="34" t="s">
        <v>314</v>
      </c>
      <c r="B194" s="9">
        <v>46130</v>
      </c>
      <c r="C194" s="8" t="s">
        <v>53</v>
      </c>
      <c r="D194" s="8" t="s">
        <v>105</v>
      </c>
      <c r="E194" s="8" t="s">
        <v>79</v>
      </c>
      <c r="F194" s="8" t="s">
        <v>72</v>
      </c>
      <c r="G194" s="8" t="s">
        <v>144</v>
      </c>
      <c r="H194" s="10">
        <v>9</v>
      </c>
      <c r="I194" s="11">
        <v>1029</v>
      </c>
      <c r="J194" s="12">
        <v>0</v>
      </c>
      <c r="K194" s="11">
        <f t="shared" si="4"/>
        <v>9261</v>
      </c>
      <c r="L194" s="8" t="s">
        <v>63</v>
      </c>
      <c r="M194" s="8" t="s">
        <v>58</v>
      </c>
      <c r="N194" s="36" t="str">
        <f t="shared" si="5"/>
        <v>Apr-26</v>
      </c>
    </row>
    <row r="195" spans="1:14" ht="15" customHeight="1" x14ac:dyDescent="0.35">
      <c r="A195" s="35" t="s">
        <v>315</v>
      </c>
      <c r="B195" s="14">
        <v>46131</v>
      </c>
      <c r="C195" s="13" t="s">
        <v>53</v>
      </c>
      <c r="D195" s="13" t="s">
        <v>108</v>
      </c>
      <c r="E195" s="13" t="s">
        <v>54</v>
      </c>
      <c r="F195" s="13" t="s">
        <v>55</v>
      </c>
      <c r="G195" s="13" t="s">
        <v>112</v>
      </c>
      <c r="H195" s="15">
        <v>3</v>
      </c>
      <c r="I195" s="16">
        <v>4799</v>
      </c>
      <c r="J195" s="17">
        <v>0.2</v>
      </c>
      <c r="K195" s="16">
        <f t="shared" si="4"/>
        <v>11517.6</v>
      </c>
      <c r="L195" s="13" t="s">
        <v>69</v>
      </c>
      <c r="M195" s="13" t="s">
        <v>58</v>
      </c>
      <c r="N195" s="37" t="str">
        <f t="shared" si="5"/>
        <v>Apr-26</v>
      </c>
    </row>
    <row r="196" spans="1:14" ht="15" customHeight="1" x14ac:dyDescent="0.35">
      <c r="A196" s="34" t="s">
        <v>316</v>
      </c>
      <c r="B196" s="9">
        <v>46132</v>
      </c>
      <c r="C196" s="8" t="s">
        <v>65</v>
      </c>
      <c r="D196" s="8" t="s">
        <v>135</v>
      </c>
      <c r="E196" s="8" t="s">
        <v>82</v>
      </c>
      <c r="F196" s="8" t="s">
        <v>55</v>
      </c>
      <c r="G196" s="8" t="s">
        <v>97</v>
      </c>
      <c r="H196" s="10">
        <v>5</v>
      </c>
      <c r="I196" s="11">
        <v>3189</v>
      </c>
      <c r="J196" s="12">
        <v>0</v>
      </c>
      <c r="K196" s="11">
        <f t="shared" ref="K196:K259" si="6">H196*I196*(1-J196)</f>
        <v>15945</v>
      </c>
      <c r="L196" s="8" t="s">
        <v>69</v>
      </c>
      <c r="M196" s="8" t="s">
        <v>64</v>
      </c>
      <c r="N196" s="36" t="str">
        <f t="shared" ref="N196:N259" si="7">TEXT(B196,"mmm-yy")</f>
        <v>Apr-26</v>
      </c>
    </row>
    <row r="197" spans="1:14" ht="15" customHeight="1" x14ac:dyDescent="0.35">
      <c r="A197" s="35" t="s">
        <v>317</v>
      </c>
      <c r="B197" s="14">
        <v>46133</v>
      </c>
      <c r="C197" s="13" t="s">
        <v>53</v>
      </c>
      <c r="D197" s="13" t="s">
        <v>108</v>
      </c>
      <c r="E197" s="13" t="s">
        <v>54</v>
      </c>
      <c r="F197" s="13" t="s">
        <v>67</v>
      </c>
      <c r="G197" s="13" t="s">
        <v>103</v>
      </c>
      <c r="H197" s="15">
        <v>11</v>
      </c>
      <c r="I197" s="16">
        <v>1529</v>
      </c>
      <c r="J197" s="17">
        <v>0</v>
      </c>
      <c r="K197" s="16">
        <f t="shared" si="6"/>
        <v>16819</v>
      </c>
      <c r="L197" s="13" t="s">
        <v>57</v>
      </c>
      <c r="M197" s="13" t="s">
        <v>58</v>
      </c>
      <c r="N197" s="37" t="str">
        <f t="shared" si="7"/>
        <v>Apr-26</v>
      </c>
    </row>
    <row r="198" spans="1:14" ht="15" customHeight="1" x14ac:dyDescent="0.35">
      <c r="A198" s="34" t="s">
        <v>318</v>
      </c>
      <c r="B198" s="9">
        <v>46135</v>
      </c>
      <c r="C198" s="8" t="s">
        <v>70</v>
      </c>
      <c r="D198" s="8" t="s">
        <v>111</v>
      </c>
      <c r="E198" s="8" t="s">
        <v>81</v>
      </c>
      <c r="F198" s="8" t="s">
        <v>55</v>
      </c>
      <c r="G198" s="8" t="s">
        <v>112</v>
      </c>
      <c r="H198" s="10">
        <v>6</v>
      </c>
      <c r="I198" s="11">
        <v>2959</v>
      </c>
      <c r="J198" s="12">
        <v>0.2</v>
      </c>
      <c r="K198" s="11">
        <f t="shared" si="6"/>
        <v>14203.2</v>
      </c>
      <c r="L198" s="8" t="s">
        <v>57</v>
      </c>
      <c r="M198" s="8" t="s">
        <v>58</v>
      </c>
      <c r="N198" s="36" t="str">
        <f t="shared" si="7"/>
        <v>Apr-26</v>
      </c>
    </row>
    <row r="199" spans="1:14" ht="15" customHeight="1" x14ac:dyDescent="0.35">
      <c r="A199" s="35" t="s">
        <v>319</v>
      </c>
      <c r="B199" s="14">
        <v>46135</v>
      </c>
      <c r="C199" s="13" t="s">
        <v>53</v>
      </c>
      <c r="D199" s="13" t="s">
        <v>105</v>
      </c>
      <c r="E199" s="13" t="s">
        <v>79</v>
      </c>
      <c r="F199" s="13" t="s">
        <v>67</v>
      </c>
      <c r="G199" s="13" t="s">
        <v>103</v>
      </c>
      <c r="H199" s="15">
        <v>4</v>
      </c>
      <c r="I199" s="16">
        <v>2969</v>
      </c>
      <c r="J199" s="17">
        <v>0</v>
      </c>
      <c r="K199" s="16">
        <f t="shared" si="6"/>
        <v>11876</v>
      </c>
      <c r="L199" s="13" t="s">
        <v>57</v>
      </c>
      <c r="M199" s="13" t="s">
        <v>58</v>
      </c>
      <c r="N199" s="37" t="str">
        <f t="shared" si="7"/>
        <v>Apr-26</v>
      </c>
    </row>
    <row r="200" spans="1:14" ht="15" customHeight="1" x14ac:dyDescent="0.35">
      <c r="A200" s="34" t="s">
        <v>320</v>
      </c>
      <c r="B200" s="9">
        <v>46135</v>
      </c>
      <c r="C200" s="8" t="s">
        <v>70</v>
      </c>
      <c r="D200" s="8" t="s">
        <v>124</v>
      </c>
      <c r="E200" s="8" t="s">
        <v>76</v>
      </c>
      <c r="F200" s="8" t="s">
        <v>77</v>
      </c>
      <c r="G200" s="8" t="s">
        <v>106</v>
      </c>
      <c r="H200" s="10">
        <v>10</v>
      </c>
      <c r="I200" s="11">
        <v>349</v>
      </c>
      <c r="J200" s="12">
        <v>0.05</v>
      </c>
      <c r="K200" s="11">
        <f t="shared" si="6"/>
        <v>3315.5</v>
      </c>
      <c r="L200" s="8" t="s">
        <v>69</v>
      </c>
      <c r="M200" s="8" t="s">
        <v>64</v>
      </c>
      <c r="N200" s="36" t="str">
        <f t="shared" si="7"/>
        <v>Apr-26</v>
      </c>
    </row>
    <row r="201" spans="1:14" ht="15" customHeight="1" x14ac:dyDescent="0.35">
      <c r="A201" s="35" t="s">
        <v>321</v>
      </c>
      <c r="B201" s="14">
        <v>46135</v>
      </c>
      <c r="C201" s="13" t="s">
        <v>70</v>
      </c>
      <c r="D201" s="13" t="s">
        <v>93</v>
      </c>
      <c r="E201" s="13" t="s">
        <v>76</v>
      </c>
      <c r="F201" s="13" t="s">
        <v>67</v>
      </c>
      <c r="G201" s="13" t="s">
        <v>94</v>
      </c>
      <c r="H201" s="15">
        <v>11</v>
      </c>
      <c r="I201" s="16">
        <v>3119</v>
      </c>
      <c r="J201" s="17">
        <v>0.05</v>
      </c>
      <c r="K201" s="16">
        <f t="shared" si="6"/>
        <v>32593.55</v>
      </c>
      <c r="L201" s="13" t="s">
        <v>57</v>
      </c>
      <c r="M201" s="13" t="s">
        <v>64</v>
      </c>
      <c r="N201" s="37" t="str">
        <f t="shared" si="7"/>
        <v>Apr-26</v>
      </c>
    </row>
    <row r="202" spans="1:14" ht="15" customHeight="1" x14ac:dyDescent="0.35">
      <c r="A202" s="34" t="s">
        <v>322</v>
      </c>
      <c r="B202" s="9">
        <v>46136</v>
      </c>
      <c r="C202" s="8" t="s">
        <v>59</v>
      </c>
      <c r="D202" s="8" t="s">
        <v>157</v>
      </c>
      <c r="E202" s="8" t="s">
        <v>66</v>
      </c>
      <c r="F202" s="8" t="s">
        <v>72</v>
      </c>
      <c r="G202" s="8" t="s">
        <v>127</v>
      </c>
      <c r="H202" s="10">
        <v>11</v>
      </c>
      <c r="I202" s="11">
        <v>469</v>
      </c>
      <c r="J202" s="12">
        <v>0.15</v>
      </c>
      <c r="K202" s="11">
        <f t="shared" si="6"/>
        <v>4385.1499999999996</v>
      </c>
      <c r="L202" s="8" t="s">
        <v>63</v>
      </c>
      <c r="M202" s="8" t="s">
        <v>58</v>
      </c>
      <c r="N202" s="36" t="str">
        <f t="shared" si="7"/>
        <v>Apr-26</v>
      </c>
    </row>
    <row r="203" spans="1:14" ht="15" customHeight="1" x14ac:dyDescent="0.35">
      <c r="A203" s="35" t="s">
        <v>323</v>
      </c>
      <c r="B203" s="14">
        <v>46136</v>
      </c>
      <c r="C203" s="13" t="s">
        <v>59</v>
      </c>
      <c r="D203" s="13" t="s">
        <v>175</v>
      </c>
      <c r="E203" s="13" t="s">
        <v>66</v>
      </c>
      <c r="F203" s="13" t="s">
        <v>67</v>
      </c>
      <c r="G203" s="13" t="s">
        <v>94</v>
      </c>
      <c r="H203" s="15">
        <v>10</v>
      </c>
      <c r="I203" s="16">
        <v>2170</v>
      </c>
      <c r="J203" s="17">
        <v>0</v>
      </c>
      <c r="K203" s="16">
        <f t="shared" si="6"/>
        <v>21700</v>
      </c>
      <c r="L203" s="13" t="s">
        <v>57</v>
      </c>
      <c r="M203" s="13" t="s">
        <v>64</v>
      </c>
      <c r="N203" s="37" t="str">
        <f t="shared" si="7"/>
        <v>Apr-26</v>
      </c>
    </row>
    <row r="204" spans="1:14" ht="15" customHeight="1" x14ac:dyDescent="0.35">
      <c r="A204" s="34" t="s">
        <v>324</v>
      </c>
      <c r="B204" s="9">
        <v>46139</v>
      </c>
      <c r="C204" s="8" t="s">
        <v>65</v>
      </c>
      <c r="D204" s="8" t="s">
        <v>96</v>
      </c>
      <c r="E204" s="8" t="s">
        <v>82</v>
      </c>
      <c r="F204" s="8" t="s">
        <v>61</v>
      </c>
      <c r="G204" s="8" t="s">
        <v>138</v>
      </c>
      <c r="H204" s="10">
        <v>2</v>
      </c>
      <c r="I204" s="11">
        <v>700</v>
      </c>
      <c r="J204" s="12">
        <v>0</v>
      </c>
      <c r="K204" s="11">
        <f t="shared" si="6"/>
        <v>1400</v>
      </c>
      <c r="L204" s="8" t="s">
        <v>57</v>
      </c>
      <c r="M204" s="8" t="s">
        <v>58</v>
      </c>
      <c r="N204" s="36" t="str">
        <f t="shared" si="7"/>
        <v>Apr-26</v>
      </c>
    </row>
    <row r="205" spans="1:14" ht="15" customHeight="1" x14ac:dyDescent="0.35">
      <c r="A205" s="35" t="s">
        <v>325</v>
      </c>
      <c r="B205" s="14">
        <v>46139</v>
      </c>
      <c r="C205" s="13" t="s">
        <v>53</v>
      </c>
      <c r="D205" s="13" t="s">
        <v>108</v>
      </c>
      <c r="E205" s="13" t="s">
        <v>54</v>
      </c>
      <c r="F205" s="13" t="s">
        <v>55</v>
      </c>
      <c r="G205" s="13" t="s">
        <v>122</v>
      </c>
      <c r="H205" s="15">
        <v>1</v>
      </c>
      <c r="I205" s="16">
        <v>2539</v>
      </c>
      <c r="J205" s="17">
        <v>0</v>
      </c>
      <c r="K205" s="16">
        <f t="shared" si="6"/>
        <v>2539</v>
      </c>
      <c r="L205" s="13" t="s">
        <v>57</v>
      </c>
      <c r="M205" s="13" t="s">
        <v>58</v>
      </c>
      <c r="N205" s="37" t="str">
        <f t="shared" si="7"/>
        <v>Apr-26</v>
      </c>
    </row>
    <row r="206" spans="1:14" ht="15" customHeight="1" x14ac:dyDescent="0.35">
      <c r="A206" s="34" t="s">
        <v>326</v>
      </c>
      <c r="B206" s="9">
        <v>46139</v>
      </c>
      <c r="C206" s="8" t="s">
        <v>65</v>
      </c>
      <c r="D206" s="8" t="s">
        <v>135</v>
      </c>
      <c r="E206" s="8" t="s">
        <v>82</v>
      </c>
      <c r="F206" s="8" t="s">
        <v>55</v>
      </c>
      <c r="G206" s="8" t="s">
        <v>122</v>
      </c>
      <c r="H206" s="10">
        <v>11</v>
      </c>
      <c r="I206" s="11">
        <v>4189</v>
      </c>
      <c r="J206" s="12">
        <v>0</v>
      </c>
      <c r="K206" s="11">
        <f t="shared" si="6"/>
        <v>46079</v>
      </c>
      <c r="L206" s="8" t="s">
        <v>74</v>
      </c>
      <c r="M206" s="8" t="s">
        <v>58</v>
      </c>
      <c r="N206" s="36" t="str">
        <f t="shared" si="7"/>
        <v>Apr-26</v>
      </c>
    </row>
    <row r="207" spans="1:14" ht="15" customHeight="1" x14ac:dyDescent="0.35">
      <c r="A207" s="35" t="s">
        <v>327</v>
      </c>
      <c r="B207" s="14">
        <v>46139</v>
      </c>
      <c r="C207" s="13" t="s">
        <v>59</v>
      </c>
      <c r="D207" s="13" t="s">
        <v>102</v>
      </c>
      <c r="E207" s="13" t="s">
        <v>66</v>
      </c>
      <c r="F207" s="13" t="s">
        <v>72</v>
      </c>
      <c r="G207" s="13" t="s">
        <v>144</v>
      </c>
      <c r="H207" s="15">
        <v>5</v>
      </c>
      <c r="I207" s="16">
        <v>2209</v>
      </c>
      <c r="J207" s="17">
        <v>0</v>
      </c>
      <c r="K207" s="16">
        <f t="shared" si="6"/>
        <v>11045</v>
      </c>
      <c r="L207" s="13" t="s">
        <v>57</v>
      </c>
      <c r="M207" s="13" t="s">
        <v>58</v>
      </c>
      <c r="N207" s="37" t="str">
        <f t="shared" si="7"/>
        <v>Apr-26</v>
      </c>
    </row>
    <row r="208" spans="1:14" ht="15" customHeight="1" x14ac:dyDescent="0.35">
      <c r="A208" s="34" t="s">
        <v>328</v>
      </c>
      <c r="B208" s="9">
        <v>46140</v>
      </c>
      <c r="C208" s="8" t="s">
        <v>70</v>
      </c>
      <c r="D208" s="8" t="s">
        <v>124</v>
      </c>
      <c r="E208" s="8" t="s">
        <v>81</v>
      </c>
      <c r="F208" s="8" t="s">
        <v>67</v>
      </c>
      <c r="G208" s="8" t="s">
        <v>100</v>
      </c>
      <c r="H208" s="10">
        <v>12</v>
      </c>
      <c r="I208" s="11">
        <v>640</v>
      </c>
      <c r="J208" s="12">
        <v>0.15</v>
      </c>
      <c r="K208" s="11">
        <f t="shared" si="6"/>
        <v>6528</v>
      </c>
      <c r="L208" s="8" t="s">
        <v>57</v>
      </c>
      <c r="M208" s="8" t="s">
        <v>64</v>
      </c>
      <c r="N208" s="36" t="str">
        <f t="shared" si="7"/>
        <v>Apr-26</v>
      </c>
    </row>
    <row r="209" spans="1:14" ht="15" customHeight="1" x14ac:dyDescent="0.35">
      <c r="A209" s="35" t="s">
        <v>329</v>
      </c>
      <c r="B209" s="14">
        <v>46140</v>
      </c>
      <c r="C209" s="13" t="s">
        <v>65</v>
      </c>
      <c r="D209" s="13" t="s">
        <v>116</v>
      </c>
      <c r="E209" s="13" t="s">
        <v>60</v>
      </c>
      <c r="F209" s="13" t="s">
        <v>77</v>
      </c>
      <c r="G209" s="13" t="s">
        <v>119</v>
      </c>
      <c r="H209" s="15">
        <v>3</v>
      </c>
      <c r="I209" s="16">
        <v>1399</v>
      </c>
      <c r="J209" s="17">
        <v>0</v>
      </c>
      <c r="K209" s="16">
        <f t="shared" si="6"/>
        <v>4197</v>
      </c>
      <c r="L209" s="13" t="s">
        <v>69</v>
      </c>
      <c r="M209" s="13" t="s">
        <v>58</v>
      </c>
      <c r="N209" s="37" t="str">
        <f t="shared" si="7"/>
        <v>Apr-26</v>
      </c>
    </row>
    <row r="210" spans="1:14" ht="15" customHeight="1" x14ac:dyDescent="0.35">
      <c r="A210" s="34" t="s">
        <v>330</v>
      </c>
      <c r="B210" s="9">
        <v>46141</v>
      </c>
      <c r="C210" s="8" t="s">
        <v>59</v>
      </c>
      <c r="D210" s="8" t="s">
        <v>102</v>
      </c>
      <c r="E210" s="8" t="s">
        <v>71</v>
      </c>
      <c r="F210" s="8" t="s">
        <v>77</v>
      </c>
      <c r="G210" s="8" t="s">
        <v>129</v>
      </c>
      <c r="H210" s="10">
        <v>3</v>
      </c>
      <c r="I210" s="11">
        <v>259</v>
      </c>
      <c r="J210" s="12">
        <v>0.15</v>
      </c>
      <c r="K210" s="11">
        <f t="shared" si="6"/>
        <v>660.44999999999993</v>
      </c>
      <c r="L210" s="8" t="s">
        <v>57</v>
      </c>
      <c r="M210" s="8" t="s">
        <v>64</v>
      </c>
      <c r="N210" s="36" t="str">
        <f t="shared" si="7"/>
        <v>Apr-26</v>
      </c>
    </row>
    <row r="211" spans="1:14" ht="15" customHeight="1" x14ac:dyDescent="0.35">
      <c r="A211" s="35" t="s">
        <v>331</v>
      </c>
      <c r="B211" s="14">
        <v>46141</v>
      </c>
      <c r="C211" s="13" t="s">
        <v>70</v>
      </c>
      <c r="D211" s="13" t="s">
        <v>111</v>
      </c>
      <c r="E211" s="13" t="s">
        <v>81</v>
      </c>
      <c r="F211" s="13" t="s">
        <v>77</v>
      </c>
      <c r="G211" s="13" t="s">
        <v>149</v>
      </c>
      <c r="H211" s="15">
        <v>10</v>
      </c>
      <c r="I211" s="16">
        <v>1509</v>
      </c>
      <c r="J211" s="17">
        <v>0.1</v>
      </c>
      <c r="K211" s="16">
        <f t="shared" si="6"/>
        <v>13581</v>
      </c>
      <c r="L211" s="13" t="s">
        <v>57</v>
      </c>
      <c r="M211" s="13" t="s">
        <v>64</v>
      </c>
      <c r="N211" s="37" t="str">
        <f t="shared" si="7"/>
        <v>Apr-26</v>
      </c>
    </row>
    <row r="212" spans="1:14" ht="15" customHeight="1" x14ac:dyDescent="0.35">
      <c r="A212" s="34" t="s">
        <v>332</v>
      </c>
      <c r="B212" s="9">
        <v>46142</v>
      </c>
      <c r="C212" s="8" t="s">
        <v>59</v>
      </c>
      <c r="D212" s="8" t="s">
        <v>157</v>
      </c>
      <c r="E212" s="8" t="s">
        <v>71</v>
      </c>
      <c r="F212" s="8" t="s">
        <v>67</v>
      </c>
      <c r="G212" s="8" t="s">
        <v>103</v>
      </c>
      <c r="H212" s="10">
        <v>8</v>
      </c>
      <c r="I212" s="11">
        <v>439</v>
      </c>
      <c r="J212" s="12">
        <v>0.1</v>
      </c>
      <c r="K212" s="11">
        <f t="shared" si="6"/>
        <v>3160.8</v>
      </c>
      <c r="L212" s="8" t="s">
        <v>69</v>
      </c>
      <c r="M212" s="8" t="s">
        <v>64</v>
      </c>
      <c r="N212" s="36" t="str">
        <f t="shared" si="7"/>
        <v>Apr-26</v>
      </c>
    </row>
    <row r="213" spans="1:14" ht="15" customHeight="1" x14ac:dyDescent="0.35">
      <c r="A213" s="35" t="s">
        <v>333</v>
      </c>
      <c r="B213" s="14">
        <v>46142</v>
      </c>
      <c r="C213" s="13" t="s">
        <v>65</v>
      </c>
      <c r="D213" s="13" t="s">
        <v>135</v>
      </c>
      <c r="E213" s="13" t="s">
        <v>60</v>
      </c>
      <c r="F213" s="13" t="s">
        <v>61</v>
      </c>
      <c r="G213" s="13" t="s">
        <v>138</v>
      </c>
      <c r="H213" s="15">
        <v>3</v>
      </c>
      <c r="I213" s="16">
        <v>1989</v>
      </c>
      <c r="J213" s="17">
        <v>0.1</v>
      </c>
      <c r="K213" s="16">
        <f t="shared" si="6"/>
        <v>5370.3</v>
      </c>
      <c r="L213" s="13" t="s">
        <v>74</v>
      </c>
      <c r="M213" s="13" t="s">
        <v>64</v>
      </c>
      <c r="N213" s="37" t="str">
        <f t="shared" si="7"/>
        <v>Apr-26</v>
      </c>
    </row>
    <row r="214" spans="1:14" ht="15" customHeight="1" x14ac:dyDescent="0.35">
      <c r="A214" s="34" t="s">
        <v>334</v>
      </c>
      <c r="B214" s="9">
        <v>46142</v>
      </c>
      <c r="C214" s="8" t="s">
        <v>70</v>
      </c>
      <c r="D214" s="8" t="s">
        <v>124</v>
      </c>
      <c r="E214" s="8" t="s">
        <v>76</v>
      </c>
      <c r="F214" s="8" t="s">
        <v>55</v>
      </c>
      <c r="G214" s="8" t="s">
        <v>112</v>
      </c>
      <c r="H214" s="10">
        <v>3</v>
      </c>
      <c r="I214" s="11">
        <v>2459</v>
      </c>
      <c r="J214" s="12">
        <v>0.05</v>
      </c>
      <c r="K214" s="11">
        <f t="shared" si="6"/>
        <v>7008.15</v>
      </c>
      <c r="L214" s="8" t="s">
        <v>57</v>
      </c>
      <c r="M214" s="8" t="s">
        <v>58</v>
      </c>
      <c r="N214" s="36" t="str">
        <f t="shared" si="7"/>
        <v>Apr-26</v>
      </c>
    </row>
    <row r="215" spans="1:14" ht="15" customHeight="1" x14ac:dyDescent="0.35">
      <c r="A215" s="35" t="s">
        <v>335</v>
      </c>
      <c r="B215" s="14">
        <v>46143</v>
      </c>
      <c r="C215" s="13" t="s">
        <v>59</v>
      </c>
      <c r="D215" s="13" t="s">
        <v>102</v>
      </c>
      <c r="E215" s="13" t="s">
        <v>71</v>
      </c>
      <c r="F215" s="13" t="s">
        <v>67</v>
      </c>
      <c r="G215" s="13" t="s">
        <v>94</v>
      </c>
      <c r="H215" s="15">
        <v>3</v>
      </c>
      <c r="I215" s="16">
        <v>1070</v>
      </c>
      <c r="J215" s="17">
        <v>0</v>
      </c>
      <c r="K215" s="16">
        <f t="shared" si="6"/>
        <v>3210</v>
      </c>
      <c r="L215" s="13" t="s">
        <v>57</v>
      </c>
      <c r="M215" s="13" t="s">
        <v>58</v>
      </c>
      <c r="N215" s="37" t="str">
        <f t="shared" si="7"/>
        <v>May-26</v>
      </c>
    </row>
    <row r="216" spans="1:14" ht="15" customHeight="1" x14ac:dyDescent="0.35">
      <c r="A216" s="34" t="s">
        <v>336</v>
      </c>
      <c r="B216" s="9">
        <v>46143</v>
      </c>
      <c r="C216" s="8" t="s">
        <v>70</v>
      </c>
      <c r="D216" s="8" t="s">
        <v>93</v>
      </c>
      <c r="E216" s="8" t="s">
        <v>76</v>
      </c>
      <c r="F216" s="8" t="s">
        <v>67</v>
      </c>
      <c r="G216" s="8" t="s">
        <v>100</v>
      </c>
      <c r="H216" s="10">
        <v>8</v>
      </c>
      <c r="I216" s="11">
        <v>2349</v>
      </c>
      <c r="J216" s="12">
        <v>0</v>
      </c>
      <c r="K216" s="11">
        <f t="shared" si="6"/>
        <v>18792</v>
      </c>
      <c r="L216" s="8" t="s">
        <v>57</v>
      </c>
      <c r="M216" s="8" t="s">
        <v>64</v>
      </c>
      <c r="N216" s="36" t="str">
        <f t="shared" si="7"/>
        <v>May-26</v>
      </c>
    </row>
    <row r="217" spans="1:14" ht="15" customHeight="1" x14ac:dyDescent="0.35">
      <c r="A217" s="35" t="s">
        <v>337</v>
      </c>
      <c r="B217" s="14">
        <v>46143</v>
      </c>
      <c r="C217" s="13" t="s">
        <v>53</v>
      </c>
      <c r="D217" s="13" t="s">
        <v>108</v>
      </c>
      <c r="E217" s="13" t="s">
        <v>54</v>
      </c>
      <c r="F217" s="13" t="s">
        <v>77</v>
      </c>
      <c r="G217" s="13" t="s">
        <v>106</v>
      </c>
      <c r="H217" s="15">
        <v>1</v>
      </c>
      <c r="I217" s="16">
        <v>720</v>
      </c>
      <c r="J217" s="17">
        <v>0.05</v>
      </c>
      <c r="K217" s="16">
        <f t="shared" si="6"/>
        <v>684</v>
      </c>
      <c r="L217" s="13" t="s">
        <v>57</v>
      </c>
      <c r="M217" s="13" t="s">
        <v>64</v>
      </c>
      <c r="N217" s="37" t="str">
        <f t="shared" si="7"/>
        <v>May-26</v>
      </c>
    </row>
    <row r="218" spans="1:14" ht="15" customHeight="1" x14ac:dyDescent="0.35">
      <c r="A218" s="34" t="s">
        <v>338</v>
      </c>
      <c r="B218" s="9">
        <v>46143</v>
      </c>
      <c r="C218" s="8" t="s">
        <v>70</v>
      </c>
      <c r="D218" s="8" t="s">
        <v>93</v>
      </c>
      <c r="E218" s="8" t="s">
        <v>81</v>
      </c>
      <c r="F218" s="8" t="s">
        <v>55</v>
      </c>
      <c r="G218" s="8" t="s">
        <v>109</v>
      </c>
      <c r="H218" s="10">
        <v>3</v>
      </c>
      <c r="I218" s="11">
        <v>3480</v>
      </c>
      <c r="J218" s="12">
        <v>0.05</v>
      </c>
      <c r="K218" s="11">
        <f t="shared" si="6"/>
        <v>9918</v>
      </c>
      <c r="L218" s="8" t="s">
        <v>57</v>
      </c>
      <c r="M218" s="8" t="s">
        <v>64</v>
      </c>
      <c r="N218" s="36" t="str">
        <f t="shared" si="7"/>
        <v>May-26</v>
      </c>
    </row>
    <row r="219" spans="1:14" ht="15" customHeight="1" x14ac:dyDescent="0.35">
      <c r="A219" s="35" t="s">
        <v>339</v>
      </c>
      <c r="B219" s="14">
        <v>46144</v>
      </c>
      <c r="C219" s="13" t="s">
        <v>70</v>
      </c>
      <c r="D219" s="13" t="s">
        <v>124</v>
      </c>
      <c r="E219" s="13" t="s">
        <v>81</v>
      </c>
      <c r="F219" s="13" t="s">
        <v>67</v>
      </c>
      <c r="G219" s="13" t="s">
        <v>114</v>
      </c>
      <c r="H219" s="15">
        <v>4</v>
      </c>
      <c r="I219" s="16">
        <v>1719</v>
      </c>
      <c r="J219" s="17">
        <v>0.05</v>
      </c>
      <c r="K219" s="16">
        <f t="shared" si="6"/>
        <v>6532.2</v>
      </c>
      <c r="L219" s="13" t="s">
        <v>57</v>
      </c>
      <c r="M219" s="13" t="s">
        <v>58</v>
      </c>
      <c r="N219" s="37" t="str">
        <f t="shared" si="7"/>
        <v>May-26</v>
      </c>
    </row>
    <row r="220" spans="1:14" ht="15" customHeight="1" x14ac:dyDescent="0.35">
      <c r="A220" s="34" t="s">
        <v>340</v>
      </c>
      <c r="B220" s="9">
        <v>46144</v>
      </c>
      <c r="C220" s="8" t="s">
        <v>53</v>
      </c>
      <c r="D220" s="8" t="s">
        <v>105</v>
      </c>
      <c r="E220" s="8" t="s">
        <v>54</v>
      </c>
      <c r="F220" s="8" t="s">
        <v>55</v>
      </c>
      <c r="G220" s="8" t="s">
        <v>122</v>
      </c>
      <c r="H220" s="10">
        <v>1</v>
      </c>
      <c r="I220" s="11">
        <v>4799</v>
      </c>
      <c r="J220" s="12">
        <v>0.15</v>
      </c>
      <c r="K220" s="11">
        <f t="shared" si="6"/>
        <v>4079.15</v>
      </c>
      <c r="L220" s="8" t="s">
        <v>63</v>
      </c>
      <c r="M220" s="8" t="s">
        <v>58</v>
      </c>
      <c r="N220" s="36" t="str">
        <f t="shared" si="7"/>
        <v>May-26</v>
      </c>
    </row>
    <row r="221" spans="1:14" ht="15" customHeight="1" x14ac:dyDescent="0.35">
      <c r="A221" s="35" t="s">
        <v>341</v>
      </c>
      <c r="B221" s="14">
        <v>46144</v>
      </c>
      <c r="C221" s="13" t="s">
        <v>65</v>
      </c>
      <c r="D221" s="13" t="s">
        <v>116</v>
      </c>
      <c r="E221" s="13" t="s">
        <v>60</v>
      </c>
      <c r="F221" s="13" t="s">
        <v>77</v>
      </c>
      <c r="G221" s="13" t="s">
        <v>119</v>
      </c>
      <c r="H221" s="15">
        <v>11</v>
      </c>
      <c r="I221" s="16">
        <v>1400</v>
      </c>
      <c r="J221" s="17">
        <v>0</v>
      </c>
      <c r="K221" s="16">
        <f t="shared" si="6"/>
        <v>15400</v>
      </c>
      <c r="L221" s="13" t="s">
        <v>57</v>
      </c>
      <c r="M221" s="13" t="s">
        <v>58</v>
      </c>
      <c r="N221" s="37" t="str">
        <f t="shared" si="7"/>
        <v>May-26</v>
      </c>
    </row>
    <row r="222" spans="1:14" ht="15" customHeight="1" x14ac:dyDescent="0.35">
      <c r="A222" s="34" t="s">
        <v>342</v>
      </c>
      <c r="B222" s="9">
        <v>46145</v>
      </c>
      <c r="C222" s="8" t="s">
        <v>53</v>
      </c>
      <c r="D222" s="8" t="s">
        <v>105</v>
      </c>
      <c r="E222" s="8" t="s">
        <v>54</v>
      </c>
      <c r="F222" s="8" t="s">
        <v>77</v>
      </c>
      <c r="G222" s="8" t="s">
        <v>106</v>
      </c>
      <c r="H222" s="10">
        <v>12</v>
      </c>
      <c r="I222" s="11">
        <v>1259</v>
      </c>
      <c r="J222" s="12">
        <v>0.05</v>
      </c>
      <c r="K222" s="11">
        <f t="shared" si="6"/>
        <v>14352.599999999999</v>
      </c>
      <c r="L222" s="8" t="s">
        <v>74</v>
      </c>
      <c r="M222" s="8" t="s">
        <v>58</v>
      </c>
      <c r="N222" s="36" t="str">
        <f t="shared" si="7"/>
        <v>May-26</v>
      </c>
    </row>
    <row r="223" spans="1:14" ht="15" customHeight="1" x14ac:dyDescent="0.35">
      <c r="A223" s="35" t="s">
        <v>343</v>
      </c>
      <c r="B223" s="14">
        <v>46145</v>
      </c>
      <c r="C223" s="13" t="s">
        <v>65</v>
      </c>
      <c r="D223" s="13" t="s">
        <v>135</v>
      </c>
      <c r="E223" s="13" t="s">
        <v>60</v>
      </c>
      <c r="F223" s="13" t="s">
        <v>67</v>
      </c>
      <c r="G223" s="13" t="s">
        <v>103</v>
      </c>
      <c r="H223" s="15">
        <v>6</v>
      </c>
      <c r="I223" s="16">
        <v>1689</v>
      </c>
      <c r="J223" s="17">
        <v>0</v>
      </c>
      <c r="K223" s="16">
        <f t="shared" si="6"/>
        <v>10134</v>
      </c>
      <c r="L223" s="13" t="s">
        <v>63</v>
      </c>
      <c r="M223" s="13" t="s">
        <v>58</v>
      </c>
      <c r="N223" s="37" t="str">
        <f t="shared" si="7"/>
        <v>May-26</v>
      </c>
    </row>
    <row r="224" spans="1:14" ht="15" customHeight="1" x14ac:dyDescent="0.35">
      <c r="A224" s="34" t="s">
        <v>344</v>
      </c>
      <c r="B224" s="9">
        <v>46145</v>
      </c>
      <c r="C224" s="8" t="s">
        <v>53</v>
      </c>
      <c r="D224" s="8" t="s">
        <v>99</v>
      </c>
      <c r="E224" s="8" t="s">
        <v>79</v>
      </c>
      <c r="F224" s="8" t="s">
        <v>72</v>
      </c>
      <c r="G224" s="8" t="s">
        <v>147</v>
      </c>
      <c r="H224" s="10">
        <v>3</v>
      </c>
      <c r="I224" s="11">
        <v>2789</v>
      </c>
      <c r="J224" s="12">
        <v>0.15</v>
      </c>
      <c r="K224" s="11">
        <f t="shared" si="6"/>
        <v>7111.95</v>
      </c>
      <c r="L224" s="8" t="s">
        <v>57</v>
      </c>
      <c r="M224" s="8" t="s">
        <v>58</v>
      </c>
      <c r="N224" s="36" t="str">
        <f t="shared" si="7"/>
        <v>May-26</v>
      </c>
    </row>
    <row r="225" spans="1:14" ht="15" customHeight="1" x14ac:dyDescent="0.35">
      <c r="A225" s="35" t="s">
        <v>345</v>
      </c>
      <c r="B225" s="14">
        <v>46147</v>
      </c>
      <c r="C225" s="13" t="s">
        <v>70</v>
      </c>
      <c r="D225" s="13" t="s">
        <v>93</v>
      </c>
      <c r="E225" s="13" t="s">
        <v>76</v>
      </c>
      <c r="F225" s="13" t="s">
        <v>61</v>
      </c>
      <c r="G225" s="13" t="s">
        <v>138</v>
      </c>
      <c r="H225" s="15">
        <v>5</v>
      </c>
      <c r="I225" s="16">
        <v>1129</v>
      </c>
      <c r="J225" s="17">
        <v>0</v>
      </c>
      <c r="K225" s="16">
        <f t="shared" si="6"/>
        <v>5645</v>
      </c>
      <c r="L225" s="13" t="s">
        <v>57</v>
      </c>
      <c r="M225" s="13" t="s">
        <v>58</v>
      </c>
      <c r="N225" s="37" t="str">
        <f t="shared" si="7"/>
        <v>May-26</v>
      </c>
    </row>
    <row r="226" spans="1:14" ht="15" customHeight="1" x14ac:dyDescent="0.35">
      <c r="A226" s="34" t="s">
        <v>346</v>
      </c>
      <c r="B226" s="9">
        <v>46148</v>
      </c>
      <c r="C226" s="8" t="s">
        <v>59</v>
      </c>
      <c r="D226" s="8" t="s">
        <v>157</v>
      </c>
      <c r="E226" s="8" t="s">
        <v>71</v>
      </c>
      <c r="F226" s="8" t="s">
        <v>77</v>
      </c>
      <c r="G226" s="8" t="s">
        <v>149</v>
      </c>
      <c r="H226" s="10">
        <v>5</v>
      </c>
      <c r="I226" s="11">
        <v>210</v>
      </c>
      <c r="J226" s="12">
        <v>0.05</v>
      </c>
      <c r="K226" s="11">
        <f t="shared" si="6"/>
        <v>997.5</v>
      </c>
      <c r="L226" s="8" t="s">
        <v>63</v>
      </c>
      <c r="M226" s="8" t="s">
        <v>58</v>
      </c>
      <c r="N226" s="36" t="str">
        <f t="shared" si="7"/>
        <v>May-26</v>
      </c>
    </row>
    <row r="227" spans="1:14" ht="15" customHeight="1" x14ac:dyDescent="0.35">
      <c r="A227" s="35" t="s">
        <v>347</v>
      </c>
      <c r="B227" s="14">
        <v>46148</v>
      </c>
      <c r="C227" s="13" t="s">
        <v>59</v>
      </c>
      <c r="D227" s="13" t="s">
        <v>157</v>
      </c>
      <c r="E227" s="13" t="s">
        <v>71</v>
      </c>
      <c r="F227" s="13" t="s">
        <v>77</v>
      </c>
      <c r="G227" s="13" t="s">
        <v>106</v>
      </c>
      <c r="H227" s="15">
        <v>9</v>
      </c>
      <c r="I227" s="16">
        <v>449</v>
      </c>
      <c r="J227" s="17">
        <v>0</v>
      </c>
      <c r="K227" s="16">
        <f t="shared" si="6"/>
        <v>4041</v>
      </c>
      <c r="L227" s="13" t="s">
        <v>57</v>
      </c>
      <c r="M227" s="13" t="s">
        <v>58</v>
      </c>
      <c r="N227" s="37" t="str">
        <f t="shared" si="7"/>
        <v>May-26</v>
      </c>
    </row>
    <row r="228" spans="1:14" ht="15" customHeight="1" x14ac:dyDescent="0.35">
      <c r="A228" s="34" t="s">
        <v>348</v>
      </c>
      <c r="B228" s="9">
        <v>46148</v>
      </c>
      <c r="C228" s="8" t="s">
        <v>53</v>
      </c>
      <c r="D228" s="8" t="s">
        <v>99</v>
      </c>
      <c r="E228" s="8" t="s">
        <v>79</v>
      </c>
      <c r="F228" s="8" t="s">
        <v>67</v>
      </c>
      <c r="G228" s="8" t="s">
        <v>103</v>
      </c>
      <c r="H228" s="10">
        <v>12</v>
      </c>
      <c r="I228" s="11">
        <v>2009</v>
      </c>
      <c r="J228" s="12">
        <v>0.05</v>
      </c>
      <c r="K228" s="11">
        <f t="shared" si="6"/>
        <v>22902.6</v>
      </c>
      <c r="L228" s="8" t="s">
        <v>63</v>
      </c>
      <c r="M228" s="8" t="s">
        <v>58</v>
      </c>
      <c r="N228" s="36" t="str">
        <f t="shared" si="7"/>
        <v>May-26</v>
      </c>
    </row>
    <row r="229" spans="1:14" ht="15" customHeight="1" x14ac:dyDescent="0.35">
      <c r="A229" s="35" t="s">
        <v>349</v>
      </c>
      <c r="B229" s="14">
        <v>46150</v>
      </c>
      <c r="C229" s="13" t="s">
        <v>65</v>
      </c>
      <c r="D229" s="13" t="s">
        <v>116</v>
      </c>
      <c r="E229" s="13" t="s">
        <v>82</v>
      </c>
      <c r="F229" s="13" t="s">
        <v>72</v>
      </c>
      <c r="G229" s="13" t="s">
        <v>144</v>
      </c>
      <c r="H229" s="15">
        <v>11</v>
      </c>
      <c r="I229" s="16">
        <v>2749</v>
      </c>
      <c r="J229" s="17">
        <v>0.05</v>
      </c>
      <c r="K229" s="16">
        <f t="shared" si="6"/>
        <v>28727.05</v>
      </c>
      <c r="L229" s="13" t="s">
        <v>57</v>
      </c>
      <c r="M229" s="13" t="s">
        <v>58</v>
      </c>
      <c r="N229" s="37" t="str">
        <f t="shared" si="7"/>
        <v>May-26</v>
      </c>
    </row>
    <row r="230" spans="1:14" ht="15" customHeight="1" x14ac:dyDescent="0.35">
      <c r="A230" s="34" t="s">
        <v>350</v>
      </c>
      <c r="B230" s="9">
        <v>46150</v>
      </c>
      <c r="C230" s="8" t="s">
        <v>59</v>
      </c>
      <c r="D230" s="8" t="s">
        <v>157</v>
      </c>
      <c r="E230" s="8" t="s">
        <v>71</v>
      </c>
      <c r="F230" s="8" t="s">
        <v>77</v>
      </c>
      <c r="G230" s="8" t="s">
        <v>119</v>
      </c>
      <c r="H230" s="10">
        <v>2</v>
      </c>
      <c r="I230" s="11">
        <v>450</v>
      </c>
      <c r="J230" s="12">
        <v>0.05</v>
      </c>
      <c r="K230" s="11">
        <f t="shared" si="6"/>
        <v>855</v>
      </c>
      <c r="L230" s="8" t="s">
        <v>57</v>
      </c>
      <c r="M230" s="8" t="s">
        <v>64</v>
      </c>
      <c r="N230" s="36" t="str">
        <f t="shared" si="7"/>
        <v>May-26</v>
      </c>
    </row>
    <row r="231" spans="1:14" ht="15" customHeight="1" x14ac:dyDescent="0.35">
      <c r="A231" s="35" t="s">
        <v>351</v>
      </c>
      <c r="B231" s="14">
        <v>46150</v>
      </c>
      <c r="C231" s="13" t="s">
        <v>70</v>
      </c>
      <c r="D231" s="13" t="s">
        <v>93</v>
      </c>
      <c r="E231" s="13" t="s">
        <v>76</v>
      </c>
      <c r="F231" s="13" t="s">
        <v>61</v>
      </c>
      <c r="G231" s="13" t="s">
        <v>154</v>
      </c>
      <c r="H231" s="15">
        <v>2</v>
      </c>
      <c r="I231" s="16">
        <v>599</v>
      </c>
      <c r="J231" s="17">
        <v>0.1</v>
      </c>
      <c r="K231" s="16">
        <f t="shared" si="6"/>
        <v>1078.2</v>
      </c>
      <c r="L231" s="13" t="s">
        <v>63</v>
      </c>
      <c r="M231" s="13" t="s">
        <v>58</v>
      </c>
      <c r="N231" s="37" t="str">
        <f t="shared" si="7"/>
        <v>May-26</v>
      </c>
    </row>
    <row r="232" spans="1:14" ht="15" customHeight="1" x14ac:dyDescent="0.35">
      <c r="A232" s="34" t="s">
        <v>352</v>
      </c>
      <c r="B232" s="9">
        <v>46150</v>
      </c>
      <c r="C232" s="8" t="s">
        <v>70</v>
      </c>
      <c r="D232" s="8" t="s">
        <v>93</v>
      </c>
      <c r="E232" s="8" t="s">
        <v>81</v>
      </c>
      <c r="F232" s="8" t="s">
        <v>77</v>
      </c>
      <c r="G232" s="8" t="s">
        <v>129</v>
      </c>
      <c r="H232" s="10">
        <v>7</v>
      </c>
      <c r="I232" s="11">
        <v>619</v>
      </c>
      <c r="J232" s="12">
        <v>0</v>
      </c>
      <c r="K232" s="11">
        <f t="shared" si="6"/>
        <v>4333</v>
      </c>
      <c r="L232" s="8" t="s">
        <v>57</v>
      </c>
      <c r="M232" s="8" t="s">
        <v>64</v>
      </c>
      <c r="N232" s="36" t="str">
        <f t="shared" si="7"/>
        <v>May-26</v>
      </c>
    </row>
    <row r="233" spans="1:14" ht="15" customHeight="1" x14ac:dyDescent="0.35">
      <c r="A233" s="35" t="s">
        <v>353</v>
      </c>
      <c r="B233" s="14">
        <v>46150</v>
      </c>
      <c r="C233" s="13" t="s">
        <v>70</v>
      </c>
      <c r="D233" s="13" t="s">
        <v>93</v>
      </c>
      <c r="E233" s="13" t="s">
        <v>81</v>
      </c>
      <c r="F233" s="13" t="s">
        <v>67</v>
      </c>
      <c r="G233" s="13" t="s">
        <v>114</v>
      </c>
      <c r="H233" s="15">
        <v>4</v>
      </c>
      <c r="I233" s="16">
        <v>2839</v>
      </c>
      <c r="J233" s="17">
        <v>0.2</v>
      </c>
      <c r="K233" s="16">
        <f t="shared" si="6"/>
        <v>9084.8000000000011</v>
      </c>
      <c r="L233" s="13" t="s">
        <v>57</v>
      </c>
      <c r="M233" s="13" t="s">
        <v>64</v>
      </c>
      <c r="N233" s="37" t="str">
        <f t="shared" si="7"/>
        <v>May-26</v>
      </c>
    </row>
    <row r="234" spans="1:14" ht="15" customHeight="1" x14ac:dyDescent="0.35">
      <c r="A234" s="34" t="s">
        <v>354</v>
      </c>
      <c r="B234" s="9">
        <v>46151</v>
      </c>
      <c r="C234" s="8" t="s">
        <v>70</v>
      </c>
      <c r="D234" s="8" t="s">
        <v>93</v>
      </c>
      <c r="E234" s="8" t="s">
        <v>81</v>
      </c>
      <c r="F234" s="8" t="s">
        <v>67</v>
      </c>
      <c r="G234" s="8" t="s">
        <v>100</v>
      </c>
      <c r="H234" s="10">
        <v>1</v>
      </c>
      <c r="I234" s="11">
        <v>2150</v>
      </c>
      <c r="J234" s="12">
        <v>0.1</v>
      </c>
      <c r="K234" s="11">
        <f t="shared" si="6"/>
        <v>1935</v>
      </c>
      <c r="L234" s="8" t="s">
        <v>57</v>
      </c>
      <c r="M234" s="8" t="s">
        <v>58</v>
      </c>
      <c r="N234" s="36" t="str">
        <f t="shared" si="7"/>
        <v>May-26</v>
      </c>
    </row>
    <row r="235" spans="1:14" ht="15" customHeight="1" x14ac:dyDescent="0.35">
      <c r="A235" s="35" t="s">
        <v>355</v>
      </c>
      <c r="B235" s="14">
        <v>46151</v>
      </c>
      <c r="C235" s="13" t="s">
        <v>59</v>
      </c>
      <c r="D235" s="13" t="s">
        <v>102</v>
      </c>
      <c r="E235" s="13" t="s">
        <v>71</v>
      </c>
      <c r="F235" s="13" t="s">
        <v>55</v>
      </c>
      <c r="G235" s="13" t="s">
        <v>122</v>
      </c>
      <c r="H235" s="15">
        <v>4</v>
      </c>
      <c r="I235" s="16">
        <v>929</v>
      </c>
      <c r="J235" s="17">
        <v>0.05</v>
      </c>
      <c r="K235" s="16">
        <f t="shared" si="6"/>
        <v>3530.2</v>
      </c>
      <c r="L235" s="13" t="s">
        <v>57</v>
      </c>
      <c r="M235" s="13" t="s">
        <v>58</v>
      </c>
      <c r="N235" s="37" t="str">
        <f t="shared" si="7"/>
        <v>May-26</v>
      </c>
    </row>
    <row r="236" spans="1:14" ht="15" customHeight="1" x14ac:dyDescent="0.35">
      <c r="A236" s="34" t="s">
        <v>356</v>
      </c>
      <c r="B236" s="9">
        <v>46154</v>
      </c>
      <c r="C236" s="8" t="s">
        <v>65</v>
      </c>
      <c r="D236" s="8" t="s">
        <v>96</v>
      </c>
      <c r="E236" s="8" t="s">
        <v>82</v>
      </c>
      <c r="F236" s="8" t="s">
        <v>67</v>
      </c>
      <c r="G236" s="8" t="s">
        <v>94</v>
      </c>
      <c r="H236" s="10">
        <v>3</v>
      </c>
      <c r="I236" s="11">
        <v>2670</v>
      </c>
      <c r="J236" s="12">
        <v>0.1</v>
      </c>
      <c r="K236" s="11">
        <f t="shared" si="6"/>
        <v>7209</v>
      </c>
      <c r="L236" s="8" t="s">
        <v>57</v>
      </c>
      <c r="M236" s="8" t="s">
        <v>64</v>
      </c>
      <c r="N236" s="36" t="str">
        <f t="shared" si="7"/>
        <v>May-26</v>
      </c>
    </row>
    <row r="237" spans="1:14" ht="15" customHeight="1" x14ac:dyDescent="0.35">
      <c r="A237" s="35" t="s">
        <v>357</v>
      </c>
      <c r="B237" s="14">
        <v>46154</v>
      </c>
      <c r="C237" s="13" t="s">
        <v>65</v>
      </c>
      <c r="D237" s="13" t="s">
        <v>96</v>
      </c>
      <c r="E237" s="13" t="s">
        <v>60</v>
      </c>
      <c r="F237" s="13" t="s">
        <v>67</v>
      </c>
      <c r="G237" s="13" t="s">
        <v>94</v>
      </c>
      <c r="H237" s="15">
        <v>12</v>
      </c>
      <c r="I237" s="16">
        <v>3010</v>
      </c>
      <c r="J237" s="17">
        <v>0</v>
      </c>
      <c r="K237" s="16">
        <f t="shared" si="6"/>
        <v>36120</v>
      </c>
      <c r="L237" s="13" t="s">
        <v>69</v>
      </c>
      <c r="M237" s="13" t="s">
        <v>58</v>
      </c>
      <c r="N237" s="37" t="str">
        <f t="shared" si="7"/>
        <v>May-26</v>
      </c>
    </row>
    <row r="238" spans="1:14" ht="15" customHeight="1" x14ac:dyDescent="0.35">
      <c r="A238" s="34" t="s">
        <v>358</v>
      </c>
      <c r="B238" s="9">
        <v>46155</v>
      </c>
      <c r="C238" s="8" t="s">
        <v>59</v>
      </c>
      <c r="D238" s="8" t="s">
        <v>157</v>
      </c>
      <c r="E238" s="8" t="s">
        <v>71</v>
      </c>
      <c r="F238" s="8" t="s">
        <v>55</v>
      </c>
      <c r="G238" s="8" t="s">
        <v>109</v>
      </c>
      <c r="H238" s="10">
        <v>5</v>
      </c>
      <c r="I238" s="11">
        <v>1539</v>
      </c>
      <c r="J238" s="12">
        <v>0.2</v>
      </c>
      <c r="K238" s="11">
        <f t="shared" si="6"/>
        <v>6156</v>
      </c>
      <c r="L238" s="8" t="s">
        <v>57</v>
      </c>
      <c r="M238" s="8" t="s">
        <v>64</v>
      </c>
      <c r="N238" s="36" t="str">
        <f t="shared" si="7"/>
        <v>May-26</v>
      </c>
    </row>
    <row r="239" spans="1:14" ht="15" customHeight="1" x14ac:dyDescent="0.35">
      <c r="A239" s="35" t="s">
        <v>359</v>
      </c>
      <c r="B239" s="14">
        <v>46156</v>
      </c>
      <c r="C239" s="13" t="s">
        <v>53</v>
      </c>
      <c r="D239" s="13" t="s">
        <v>105</v>
      </c>
      <c r="E239" s="13" t="s">
        <v>54</v>
      </c>
      <c r="F239" s="13" t="s">
        <v>67</v>
      </c>
      <c r="G239" s="13" t="s">
        <v>103</v>
      </c>
      <c r="H239" s="15">
        <v>2</v>
      </c>
      <c r="I239" s="16">
        <v>679</v>
      </c>
      <c r="J239" s="17">
        <v>0</v>
      </c>
      <c r="K239" s="16">
        <f t="shared" si="6"/>
        <v>1358</v>
      </c>
      <c r="L239" s="13" t="s">
        <v>57</v>
      </c>
      <c r="M239" s="13" t="s">
        <v>64</v>
      </c>
      <c r="N239" s="37" t="str">
        <f t="shared" si="7"/>
        <v>May-26</v>
      </c>
    </row>
    <row r="240" spans="1:14" ht="15" customHeight="1" x14ac:dyDescent="0.35">
      <c r="A240" s="34" t="s">
        <v>360</v>
      </c>
      <c r="B240" s="9">
        <v>46156</v>
      </c>
      <c r="C240" s="8" t="s">
        <v>53</v>
      </c>
      <c r="D240" s="8" t="s">
        <v>99</v>
      </c>
      <c r="E240" s="8" t="s">
        <v>54</v>
      </c>
      <c r="F240" s="8" t="s">
        <v>72</v>
      </c>
      <c r="G240" s="8" t="s">
        <v>147</v>
      </c>
      <c r="H240" s="10">
        <v>1</v>
      </c>
      <c r="I240" s="11">
        <v>2939</v>
      </c>
      <c r="J240" s="12">
        <v>0.1</v>
      </c>
      <c r="K240" s="11">
        <f t="shared" si="6"/>
        <v>2645.1</v>
      </c>
      <c r="L240" s="8" t="s">
        <v>57</v>
      </c>
      <c r="M240" s="8" t="s">
        <v>64</v>
      </c>
      <c r="N240" s="36" t="str">
        <f t="shared" si="7"/>
        <v>May-26</v>
      </c>
    </row>
    <row r="241" spans="1:14" ht="15" customHeight="1" x14ac:dyDescent="0.35">
      <c r="A241" s="35" t="s">
        <v>361</v>
      </c>
      <c r="B241" s="14">
        <v>46156</v>
      </c>
      <c r="C241" s="13" t="s">
        <v>53</v>
      </c>
      <c r="D241" s="13" t="s">
        <v>99</v>
      </c>
      <c r="E241" s="13" t="s">
        <v>79</v>
      </c>
      <c r="F241" s="13" t="s">
        <v>67</v>
      </c>
      <c r="G241" s="13" t="s">
        <v>94</v>
      </c>
      <c r="H241" s="15">
        <v>12</v>
      </c>
      <c r="I241" s="16">
        <v>3089</v>
      </c>
      <c r="J241" s="17">
        <v>0.2</v>
      </c>
      <c r="K241" s="16">
        <f t="shared" si="6"/>
        <v>29654.400000000001</v>
      </c>
      <c r="L241" s="13" t="s">
        <v>63</v>
      </c>
      <c r="M241" s="13" t="s">
        <v>58</v>
      </c>
      <c r="N241" s="37" t="str">
        <f t="shared" si="7"/>
        <v>May-26</v>
      </c>
    </row>
    <row r="242" spans="1:14" ht="15" customHeight="1" x14ac:dyDescent="0.35">
      <c r="A242" s="34" t="s">
        <v>362</v>
      </c>
      <c r="B242" s="9">
        <v>46157</v>
      </c>
      <c r="C242" s="8" t="s">
        <v>70</v>
      </c>
      <c r="D242" s="8" t="s">
        <v>93</v>
      </c>
      <c r="E242" s="8" t="s">
        <v>81</v>
      </c>
      <c r="F242" s="8" t="s">
        <v>61</v>
      </c>
      <c r="G242" s="8" t="s">
        <v>133</v>
      </c>
      <c r="H242" s="10">
        <v>2</v>
      </c>
      <c r="I242" s="11">
        <v>1020</v>
      </c>
      <c r="J242" s="12">
        <v>0.05</v>
      </c>
      <c r="K242" s="11">
        <f t="shared" si="6"/>
        <v>1938</v>
      </c>
      <c r="L242" s="8" t="s">
        <v>57</v>
      </c>
      <c r="M242" s="8" t="s">
        <v>64</v>
      </c>
      <c r="N242" s="36" t="str">
        <f t="shared" si="7"/>
        <v>May-26</v>
      </c>
    </row>
    <row r="243" spans="1:14" ht="15" customHeight="1" x14ac:dyDescent="0.35">
      <c r="A243" s="35" t="s">
        <v>363</v>
      </c>
      <c r="B243" s="14">
        <v>46158</v>
      </c>
      <c r="C243" s="13" t="s">
        <v>53</v>
      </c>
      <c r="D243" s="13" t="s">
        <v>105</v>
      </c>
      <c r="E243" s="13" t="s">
        <v>54</v>
      </c>
      <c r="F243" s="13" t="s">
        <v>67</v>
      </c>
      <c r="G243" s="13" t="s">
        <v>94</v>
      </c>
      <c r="H243" s="15">
        <v>1</v>
      </c>
      <c r="I243" s="16">
        <v>1340</v>
      </c>
      <c r="J243" s="17">
        <v>0</v>
      </c>
      <c r="K243" s="16">
        <f t="shared" si="6"/>
        <v>1340</v>
      </c>
      <c r="L243" s="13" t="s">
        <v>57</v>
      </c>
      <c r="M243" s="13" t="s">
        <v>58</v>
      </c>
      <c r="N243" s="37" t="str">
        <f t="shared" si="7"/>
        <v>May-26</v>
      </c>
    </row>
    <row r="244" spans="1:14" ht="15" customHeight="1" x14ac:dyDescent="0.35">
      <c r="A244" s="34" t="s">
        <v>364</v>
      </c>
      <c r="B244" s="9">
        <v>46158</v>
      </c>
      <c r="C244" s="8" t="s">
        <v>59</v>
      </c>
      <c r="D244" s="8" t="s">
        <v>102</v>
      </c>
      <c r="E244" s="8" t="s">
        <v>66</v>
      </c>
      <c r="F244" s="8" t="s">
        <v>72</v>
      </c>
      <c r="G244" s="8" t="s">
        <v>144</v>
      </c>
      <c r="H244" s="10">
        <v>2</v>
      </c>
      <c r="I244" s="11">
        <v>409</v>
      </c>
      <c r="J244" s="12">
        <v>0.15</v>
      </c>
      <c r="K244" s="11">
        <f t="shared" si="6"/>
        <v>695.3</v>
      </c>
      <c r="L244" s="8" t="s">
        <v>57</v>
      </c>
      <c r="M244" s="8" t="s">
        <v>64</v>
      </c>
      <c r="N244" s="36" t="str">
        <f t="shared" si="7"/>
        <v>May-26</v>
      </c>
    </row>
    <row r="245" spans="1:14" ht="15" customHeight="1" x14ac:dyDescent="0.35">
      <c r="A245" s="35" t="s">
        <v>365</v>
      </c>
      <c r="B245" s="14">
        <v>46159</v>
      </c>
      <c r="C245" s="13" t="s">
        <v>70</v>
      </c>
      <c r="D245" s="13" t="s">
        <v>124</v>
      </c>
      <c r="E245" s="13" t="s">
        <v>81</v>
      </c>
      <c r="F245" s="13" t="s">
        <v>55</v>
      </c>
      <c r="G245" s="13" t="s">
        <v>112</v>
      </c>
      <c r="H245" s="15">
        <v>5</v>
      </c>
      <c r="I245" s="16">
        <v>2319</v>
      </c>
      <c r="J245" s="17">
        <v>0.1</v>
      </c>
      <c r="K245" s="16">
        <f t="shared" si="6"/>
        <v>10435.5</v>
      </c>
      <c r="L245" s="13" t="s">
        <v>69</v>
      </c>
      <c r="M245" s="13" t="s">
        <v>64</v>
      </c>
      <c r="N245" s="37" t="str">
        <f t="shared" si="7"/>
        <v>May-26</v>
      </c>
    </row>
    <row r="246" spans="1:14" ht="15" customHeight="1" x14ac:dyDescent="0.35">
      <c r="A246" s="34" t="s">
        <v>366</v>
      </c>
      <c r="B246" s="9">
        <v>46159</v>
      </c>
      <c r="C246" s="8" t="s">
        <v>70</v>
      </c>
      <c r="D246" s="8" t="s">
        <v>124</v>
      </c>
      <c r="E246" s="8" t="s">
        <v>81</v>
      </c>
      <c r="F246" s="8" t="s">
        <v>61</v>
      </c>
      <c r="G246" s="8" t="s">
        <v>133</v>
      </c>
      <c r="H246" s="10">
        <v>9</v>
      </c>
      <c r="I246" s="11">
        <v>1179</v>
      </c>
      <c r="J246" s="12">
        <v>0.05</v>
      </c>
      <c r="K246" s="11">
        <f t="shared" si="6"/>
        <v>10080.449999999999</v>
      </c>
      <c r="L246" s="8" t="s">
        <v>57</v>
      </c>
      <c r="M246" s="8" t="s">
        <v>58</v>
      </c>
      <c r="N246" s="36" t="str">
        <f t="shared" si="7"/>
        <v>May-26</v>
      </c>
    </row>
    <row r="247" spans="1:14" ht="15" customHeight="1" x14ac:dyDescent="0.35">
      <c r="A247" s="35" t="s">
        <v>367</v>
      </c>
      <c r="B247" s="14">
        <v>46159</v>
      </c>
      <c r="C247" s="13" t="s">
        <v>59</v>
      </c>
      <c r="D247" s="13" t="s">
        <v>175</v>
      </c>
      <c r="E247" s="13" t="s">
        <v>66</v>
      </c>
      <c r="F247" s="13" t="s">
        <v>77</v>
      </c>
      <c r="G247" s="13" t="s">
        <v>119</v>
      </c>
      <c r="H247" s="15">
        <v>3</v>
      </c>
      <c r="I247" s="16">
        <v>989</v>
      </c>
      <c r="J247" s="17">
        <v>0.15</v>
      </c>
      <c r="K247" s="16">
        <f t="shared" si="6"/>
        <v>2521.9499999999998</v>
      </c>
      <c r="L247" s="13" t="s">
        <v>69</v>
      </c>
      <c r="M247" s="13" t="s">
        <v>58</v>
      </c>
      <c r="N247" s="37" t="str">
        <f t="shared" si="7"/>
        <v>May-26</v>
      </c>
    </row>
    <row r="248" spans="1:14" ht="15" customHeight="1" x14ac:dyDescent="0.35">
      <c r="A248" s="34" t="s">
        <v>368</v>
      </c>
      <c r="B248" s="9">
        <v>46159</v>
      </c>
      <c r="C248" s="8" t="s">
        <v>70</v>
      </c>
      <c r="D248" s="8" t="s">
        <v>111</v>
      </c>
      <c r="E248" s="8" t="s">
        <v>76</v>
      </c>
      <c r="F248" s="8" t="s">
        <v>77</v>
      </c>
      <c r="G248" s="8" t="s">
        <v>106</v>
      </c>
      <c r="H248" s="10">
        <v>12</v>
      </c>
      <c r="I248" s="11">
        <v>369</v>
      </c>
      <c r="J248" s="12">
        <v>0.1</v>
      </c>
      <c r="K248" s="11">
        <f t="shared" si="6"/>
        <v>3985.2000000000003</v>
      </c>
      <c r="L248" s="8" t="s">
        <v>63</v>
      </c>
      <c r="M248" s="8" t="s">
        <v>64</v>
      </c>
      <c r="N248" s="36" t="str">
        <f t="shared" si="7"/>
        <v>May-26</v>
      </c>
    </row>
    <row r="249" spans="1:14" ht="15" customHeight="1" x14ac:dyDescent="0.35">
      <c r="A249" s="35" t="s">
        <v>369</v>
      </c>
      <c r="B249" s="14">
        <v>46160</v>
      </c>
      <c r="C249" s="13" t="s">
        <v>65</v>
      </c>
      <c r="D249" s="13" t="s">
        <v>96</v>
      </c>
      <c r="E249" s="13" t="s">
        <v>60</v>
      </c>
      <c r="F249" s="13" t="s">
        <v>55</v>
      </c>
      <c r="G249" s="13" t="s">
        <v>97</v>
      </c>
      <c r="H249" s="15">
        <v>12</v>
      </c>
      <c r="I249" s="16">
        <v>1229</v>
      </c>
      <c r="J249" s="17">
        <v>0.1</v>
      </c>
      <c r="K249" s="16">
        <f t="shared" si="6"/>
        <v>13273.2</v>
      </c>
      <c r="L249" s="13" t="s">
        <v>63</v>
      </c>
      <c r="M249" s="13" t="s">
        <v>58</v>
      </c>
      <c r="N249" s="37" t="str">
        <f t="shared" si="7"/>
        <v>May-26</v>
      </c>
    </row>
    <row r="250" spans="1:14" ht="15" customHeight="1" x14ac:dyDescent="0.35">
      <c r="A250" s="34" t="s">
        <v>370</v>
      </c>
      <c r="B250" s="9">
        <v>46160</v>
      </c>
      <c r="C250" s="8" t="s">
        <v>53</v>
      </c>
      <c r="D250" s="8" t="s">
        <v>105</v>
      </c>
      <c r="E250" s="8" t="s">
        <v>79</v>
      </c>
      <c r="F250" s="8" t="s">
        <v>77</v>
      </c>
      <c r="G250" s="8" t="s">
        <v>119</v>
      </c>
      <c r="H250" s="10">
        <v>9</v>
      </c>
      <c r="I250" s="11">
        <v>929</v>
      </c>
      <c r="J250" s="12">
        <v>0.05</v>
      </c>
      <c r="K250" s="11">
        <f t="shared" si="6"/>
        <v>7942.95</v>
      </c>
      <c r="L250" s="8" t="s">
        <v>69</v>
      </c>
      <c r="M250" s="8" t="s">
        <v>58</v>
      </c>
      <c r="N250" s="36" t="str">
        <f t="shared" si="7"/>
        <v>May-26</v>
      </c>
    </row>
    <row r="251" spans="1:14" ht="15" customHeight="1" x14ac:dyDescent="0.35">
      <c r="A251" s="35" t="s">
        <v>371</v>
      </c>
      <c r="B251" s="14">
        <v>46161</v>
      </c>
      <c r="C251" s="13" t="s">
        <v>59</v>
      </c>
      <c r="D251" s="13" t="s">
        <v>157</v>
      </c>
      <c r="E251" s="13" t="s">
        <v>66</v>
      </c>
      <c r="F251" s="13" t="s">
        <v>67</v>
      </c>
      <c r="G251" s="13" t="s">
        <v>103</v>
      </c>
      <c r="H251" s="15">
        <v>5</v>
      </c>
      <c r="I251" s="16">
        <v>2809</v>
      </c>
      <c r="J251" s="17">
        <v>0</v>
      </c>
      <c r="K251" s="16">
        <f t="shared" si="6"/>
        <v>14045</v>
      </c>
      <c r="L251" s="13" t="s">
        <v>57</v>
      </c>
      <c r="M251" s="13" t="s">
        <v>58</v>
      </c>
      <c r="N251" s="37" t="str">
        <f t="shared" si="7"/>
        <v>May-26</v>
      </c>
    </row>
    <row r="252" spans="1:14" ht="15" customHeight="1" x14ac:dyDescent="0.35">
      <c r="A252" s="34" t="s">
        <v>372</v>
      </c>
      <c r="B252" s="9">
        <v>46161</v>
      </c>
      <c r="C252" s="8" t="s">
        <v>70</v>
      </c>
      <c r="D252" s="8" t="s">
        <v>124</v>
      </c>
      <c r="E252" s="8" t="s">
        <v>76</v>
      </c>
      <c r="F252" s="8" t="s">
        <v>72</v>
      </c>
      <c r="G252" s="8" t="s">
        <v>166</v>
      </c>
      <c r="H252" s="10">
        <v>12</v>
      </c>
      <c r="I252" s="11">
        <v>2469</v>
      </c>
      <c r="J252" s="12">
        <v>0</v>
      </c>
      <c r="K252" s="11">
        <f t="shared" si="6"/>
        <v>29628</v>
      </c>
      <c r="L252" s="8" t="s">
        <v>57</v>
      </c>
      <c r="M252" s="8" t="s">
        <v>58</v>
      </c>
      <c r="N252" s="36" t="str">
        <f t="shared" si="7"/>
        <v>May-26</v>
      </c>
    </row>
    <row r="253" spans="1:14" ht="15" customHeight="1" x14ac:dyDescent="0.35">
      <c r="A253" s="35" t="s">
        <v>373</v>
      </c>
      <c r="B253" s="14">
        <v>46162</v>
      </c>
      <c r="C253" s="13" t="s">
        <v>65</v>
      </c>
      <c r="D253" s="13" t="s">
        <v>135</v>
      </c>
      <c r="E253" s="13" t="s">
        <v>60</v>
      </c>
      <c r="F253" s="13" t="s">
        <v>77</v>
      </c>
      <c r="G253" s="13" t="s">
        <v>149</v>
      </c>
      <c r="H253" s="15">
        <v>8</v>
      </c>
      <c r="I253" s="16">
        <v>749</v>
      </c>
      <c r="J253" s="17">
        <v>0.2</v>
      </c>
      <c r="K253" s="16">
        <f t="shared" si="6"/>
        <v>4793.6000000000004</v>
      </c>
      <c r="L253" s="13" t="s">
        <v>69</v>
      </c>
      <c r="M253" s="13" t="s">
        <v>64</v>
      </c>
      <c r="N253" s="37" t="str">
        <f t="shared" si="7"/>
        <v>May-26</v>
      </c>
    </row>
    <row r="254" spans="1:14" ht="15" customHeight="1" x14ac:dyDescent="0.35">
      <c r="A254" s="34" t="s">
        <v>374</v>
      </c>
      <c r="B254" s="9">
        <v>46163</v>
      </c>
      <c r="C254" s="8" t="s">
        <v>53</v>
      </c>
      <c r="D254" s="8" t="s">
        <v>105</v>
      </c>
      <c r="E254" s="8" t="s">
        <v>54</v>
      </c>
      <c r="F254" s="8" t="s">
        <v>72</v>
      </c>
      <c r="G254" s="8" t="s">
        <v>166</v>
      </c>
      <c r="H254" s="10">
        <v>5</v>
      </c>
      <c r="I254" s="11">
        <v>2159</v>
      </c>
      <c r="J254" s="12">
        <v>0.05</v>
      </c>
      <c r="K254" s="11">
        <f t="shared" si="6"/>
        <v>10255.25</v>
      </c>
      <c r="L254" s="8" t="s">
        <v>57</v>
      </c>
      <c r="M254" s="8" t="s">
        <v>58</v>
      </c>
      <c r="N254" s="36" t="str">
        <f t="shared" si="7"/>
        <v>May-26</v>
      </c>
    </row>
    <row r="255" spans="1:14" ht="15" customHeight="1" x14ac:dyDescent="0.35">
      <c r="A255" s="35" t="s">
        <v>375</v>
      </c>
      <c r="B255" s="14">
        <v>46165</v>
      </c>
      <c r="C255" s="13" t="s">
        <v>53</v>
      </c>
      <c r="D255" s="13" t="s">
        <v>99</v>
      </c>
      <c r="E255" s="13" t="s">
        <v>79</v>
      </c>
      <c r="F255" s="13" t="s">
        <v>55</v>
      </c>
      <c r="G255" s="13" t="s">
        <v>112</v>
      </c>
      <c r="H255" s="15">
        <v>5</v>
      </c>
      <c r="I255" s="16">
        <v>4789</v>
      </c>
      <c r="J255" s="17">
        <v>0</v>
      </c>
      <c r="K255" s="16">
        <f t="shared" si="6"/>
        <v>23945</v>
      </c>
      <c r="L255" s="13" t="s">
        <v>63</v>
      </c>
      <c r="M255" s="13" t="s">
        <v>64</v>
      </c>
      <c r="N255" s="37" t="str">
        <f t="shared" si="7"/>
        <v>May-26</v>
      </c>
    </row>
    <row r="256" spans="1:14" ht="15" customHeight="1" x14ac:dyDescent="0.35">
      <c r="A256" s="34" t="s">
        <v>376</v>
      </c>
      <c r="B256" s="9">
        <v>46166</v>
      </c>
      <c r="C256" s="8" t="s">
        <v>70</v>
      </c>
      <c r="D256" s="8" t="s">
        <v>93</v>
      </c>
      <c r="E256" s="8" t="s">
        <v>81</v>
      </c>
      <c r="F256" s="8" t="s">
        <v>55</v>
      </c>
      <c r="G256" s="8" t="s">
        <v>122</v>
      </c>
      <c r="H256" s="10">
        <v>7</v>
      </c>
      <c r="I256" s="11">
        <v>1249</v>
      </c>
      <c r="J256" s="12">
        <v>0.15</v>
      </c>
      <c r="K256" s="11">
        <f t="shared" si="6"/>
        <v>7431.55</v>
      </c>
      <c r="L256" s="8" t="s">
        <v>57</v>
      </c>
      <c r="M256" s="8" t="s">
        <v>58</v>
      </c>
      <c r="N256" s="36" t="str">
        <f t="shared" si="7"/>
        <v>May-26</v>
      </c>
    </row>
    <row r="257" spans="1:14" ht="15" customHeight="1" x14ac:dyDescent="0.35">
      <c r="A257" s="35" t="s">
        <v>377</v>
      </c>
      <c r="B257" s="14">
        <v>46166</v>
      </c>
      <c r="C257" s="13" t="s">
        <v>65</v>
      </c>
      <c r="D257" s="13" t="s">
        <v>116</v>
      </c>
      <c r="E257" s="13" t="s">
        <v>60</v>
      </c>
      <c r="F257" s="13" t="s">
        <v>55</v>
      </c>
      <c r="G257" s="13" t="s">
        <v>122</v>
      </c>
      <c r="H257" s="15">
        <v>8</v>
      </c>
      <c r="I257" s="16">
        <v>3949</v>
      </c>
      <c r="J257" s="17">
        <v>0</v>
      </c>
      <c r="K257" s="16">
        <f t="shared" si="6"/>
        <v>31592</v>
      </c>
      <c r="L257" s="13" t="s">
        <v>57</v>
      </c>
      <c r="M257" s="13" t="s">
        <v>58</v>
      </c>
      <c r="N257" s="37" t="str">
        <f t="shared" si="7"/>
        <v>May-26</v>
      </c>
    </row>
    <row r="258" spans="1:14" ht="15" customHeight="1" x14ac:dyDescent="0.35">
      <c r="A258" s="34" t="s">
        <v>378</v>
      </c>
      <c r="B258" s="9">
        <v>46166</v>
      </c>
      <c r="C258" s="8" t="s">
        <v>59</v>
      </c>
      <c r="D258" s="8" t="s">
        <v>157</v>
      </c>
      <c r="E258" s="8" t="s">
        <v>71</v>
      </c>
      <c r="F258" s="8" t="s">
        <v>77</v>
      </c>
      <c r="G258" s="8" t="s">
        <v>149</v>
      </c>
      <c r="H258" s="10">
        <v>6</v>
      </c>
      <c r="I258" s="11">
        <v>669</v>
      </c>
      <c r="J258" s="12">
        <v>0</v>
      </c>
      <c r="K258" s="11">
        <f t="shared" si="6"/>
        <v>4014</v>
      </c>
      <c r="L258" s="8" t="s">
        <v>63</v>
      </c>
      <c r="M258" s="8" t="s">
        <v>58</v>
      </c>
      <c r="N258" s="36" t="str">
        <f t="shared" si="7"/>
        <v>May-26</v>
      </c>
    </row>
    <row r="259" spans="1:14" ht="15" customHeight="1" x14ac:dyDescent="0.35">
      <c r="A259" s="35" t="s">
        <v>379</v>
      </c>
      <c r="B259" s="14">
        <v>46167</v>
      </c>
      <c r="C259" s="13" t="s">
        <v>70</v>
      </c>
      <c r="D259" s="13" t="s">
        <v>124</v>
      </c>
      <c r="E259" s="13" t="s">
        <v>76</v>
      </c>
      <c r="F259" s="13" t="s">
        <v>77</v>
      </c>
      <c r="G259" s="13" t="s">
        <v>149</v>
      </c>
      <c r="H259" s="15">
        <v>4</v>
      </c>
      <c r="I259" s="16">
        <v>1070</v>
      </c>
      <c r="J259" s="17">
        <v>0.05</v>
      </c>
      <c r="K259" s="16">
        <f t="shared" si="6"/>
        <v>4066</v>
      </c>
      <c r="L259" s="13" t="s">
        <v>57</v>
      </c>
      <c r="M259" s="13" t="s">
        <v>58</v>
      </c>
      <c r="N259" s="37" t="str">
        <f t="shared" si="7"/>
        <v>May-26</v>
      </c>
    </row>
    <row r="260" spans="1:14" ht="15" customHeight="1" x14ac:dyDescent="0.35">
      <c r="A260" s="34" t="s">
        <v>380</v>
      </c>
      <c r="B260" s="9">
        <v>46167</v>
      </c>
      <c r="C260" s="8" t="s">
        <v>53</v>
      </c>
      <c r="D260" s="8" t="s">
        <v>105</v>
      </c>
      <c r="E260" s="8" t="s">
        <v>79</v>
      </c>
      <c r="F260" s="8" t="s">
        <v>67</v>
      </c>
      <c r="G260" s="8" t="s">
        <v>100</v>
      </c>
      <c r="H260" s="10">
        <v>7</v>
      </c>
      <c r="I260" s="11">
        <v>2779</v>
      </c>
      <c r="J260" s="12">
        <v>0.1</v>
      </c>
      <c r="K260" s="11">
        <f t="shared" ref="K260:K323" si="8">H260*I260*(1-J260)</f>
        <v>17507.7</v>
      </c>
      <c r="L260" s="8" t="s">
        <v>63</v>
      </c>
      <c r="M260" s="8" t="s">
        <v>58</v>
      </c>
      <c r="N260" s="36" t="str">
        <f t="shared" ref="N260:N323" si="9">TEXT(B260,"mmm-yy")</f>
        <v>May-26</v>
      </c>
    </row>
    <row r="261" spans="1:14" ht="15" customHeight="1" x14ac:dyDescent="0.35">
      <c r="A261" s="35" t="s">
        <v>381</v>
      </c>
      <c r="B261" s="14">
        <v>46168</v>
      </c>
      <c r="C261" s="13" t="s">
        <v>70</v>
      </c>
      <c r="D261" s="13" t="s">
        <v>111</v>
      </c>
      <c r="E261" s="13" t="s">
        <v>81</v>
      </c>
      <c r="F261" s="13" t="s">
        <v>55</v>
      </c>
      <c r="G261" s="13" t="s">
        <v>112</v>
      </c>
      <c r="H261" s="15">
        <v>3</v>
      </c>
      <c r="I261" s="16">
        <v>4559</v>
      </c>
      <c r="J261" s="17">
        <v>0.1</v>
      </c>
      <c r="K261" s="16">
        <f t="shared" si="8"/>
        <v>12309.300000000001</v>
      </c>
      <c r="L261" s="13" t="s">
        <v>57</v>
      </c>
      <c r="M261" s="13" t="s">
        <v>58</v>
      </c>
      <c r="N261" s="37" t="str">
        <f t="shared" si="9"/>
        <v>May-26</v>
      </c>
    </row>
    <row r="262" spans="1:14" ht="15" customHeight="1" x14ac:dyDescent="0.35">
      <c r="A262" s="34" t="s">
        <v>382</v>
      </c>
      <c r="B262" s="9">
        <v>46168</v>
      </c>
      <c r="C262" s="8" t="s">
        <v>53</v>
      </c>
      <c r="D262" s="8" t="s">
        <v>99</v>
      </c>
      <c r="E262" s="8" t="s">
        <v>79</v>
      </c>
      <c r="F262" s="8" t="s">
        <v>55</v>
      </c>
      <c r="G262" s="8" t="s">
        <v>109</v>
      </c>
      <c r="H262" s="10">
        <v>10</v>
      </c>
      <c r="I262" s="11">
        <v>1499</v>
      </c>
      <c r="J262" s="12">
        <v>0.2</v>
      </c>
      <c r="K262" s="11">
        <f t="shared" si="8"/>
        <v>11992</v>
      </c>
      <c r="L262" s="8" t="s">
        <v>57</v>
      </c>
      <c r="M262" s="8" t="s">
        <v>58</v>
      </c>
      <c r="N262" s="36" t="str">
        <f t="shared" si="9"/>
        <v>May-26</v>
      </c>
    </row>
    <row r="263" spans="1:14" ht="15" customHeight="1" x14ac:dyDescent="0.35">
      <c r="A263" s="35" t="s">
        <v>383</v>
      </c>
      <c r="B263" s="14">
        <v>46168</v>
      </c>
      <c r="C263" s="13" t="s">
        <v>70</v>
      </c>
      <c r="D263" s="13" t="s">
        <v>111</v>
      </c>
      <c r="E263" s="13" t="s">
        <v>81</v>
      </c>
      <c r="F263" s="13" t="s">
        <v>61</v>
      </c>
      <c r="G263" s="13" t="s">
        <v>138</v>
      </c>
      <c r="H263" s="15">
        <v>11</v>
      </c>
      <c r="I263" s="16">
        <v>1650</v>
      </c>
      <c r="J263" s="17">
        <v>0.2</v>
      </c>
      <c r="K263" s="16">
        <f t="shared" si="8"/>
        <v>14520</v>
      </c>
      <c r="L263" s="13" t="s">
        <v>74</v>
      </c>
      <c r="M263" s="13" t="s">
        <v>58</v>
      </c>
      <c r="N263" s="37" t="str">
        <f t="shared" si="9"/>
        <v>May-26</v>
      </c>
    </row>
    <row r="264" spans="1:14" ht="15" customHeight="1" x14ac:dyDescent="0.35">
      <c r="A264" s="34" t="s">
        <v>384</v>
      </c>
      <c r="B264" s="9">
        <v>46168</v>
      </c>
      <c r="C264" s="8" t="s">
        <v>70</v>
      </c>
      <c r="D264" s="8" t="s">
        <v>111</v>
      </c>
      <c r="E264" s="8" t="s">
        <v>81</v>
      </c>
      <c r="F264" s="8" t="s">
        <v>55</v>
      </c>
      <c r="G264" s="8" t="s">
        <v>109</v>
      </c>
      <c r="H264" s="10">
        <v>12</v>
      </c>
      <c r="I264" s="11">
        <v>3859</v>
      </c>
      <c r="J264" s="12">
        <v>0</v>
      </c>
      <c r="K264" s="11">
        <f t="shared" si="8"/>
        <v>46308</v>
      </c>
      <c r="L264" s="8" t="s">
        <v>74</v>
      </c>
      <c r="M264" s="8" t="s">
        <v>58</v>
      </c>
      <c r="N264" s="36" t="str">
        <f t="shared" si="9"/>
        <v>May-26</v>
      </c>
    </row>
    <row r="265" spans="1:14" ht="15" customHeight="1" x14ac:dyDescent="0.35">
      <c r="A265" s="35" t="s">
        <v>385</v>
      </c>
      <c r="B265" s="14">
        <v>46169</v>
      </c>
      <c r="C265" s="13" t="s">
        <v>65</v>
      </c>
      <c r="D265" s="13" t="s">
        <v>96</v>
      </c>
      <c r="E265" s="13" t="s">
        <v>82</v>
      </c>
      <c r="F265" s="13" t="s">
        <v>67</v>
      </c>
      <c r="G265" s="13" t="s">
        <v>100</v>
      </c>
      <c r="H265" s="15">
        <v>2</v>
      </c>
      <c r="I265" s="16">
        <v>3459</v>
      </c>
      <c r="J265" s="17">
        <v>0</v>
      </c>
      <c r="K265" s="16">
        <f t="shared" si="8"/>
        <v>6918</v>
      </c>
      <c r="L265" s="13" t="s">
        <v>57</v>
      </c>
      <c r="M265" s="13" t="s">
        <v>58</v>
      </c>
      <c r="N265" s="37" t="str">
        <f t="shared" si="9"/>
        <v>May-26</v>
      </c>
    </row>
    <row r="266" spans="1:14" ht="15" customHeight="1" x14ac:dyDescent="0.35">
      <c r="A266" s="34" t="s">
        <v>386</v>
      </c>
      <c r="B266" s="9">
        <v>46169</v>
      </c>
      <c r="C266" s="8" t="s">
        <v>53</v>
      </c>
      <c r="D266" s="8" t="s">
        <v>105</v>
      </c>
      <c r="E266" s="8" t="s">
        <v>79</v>
      </c>
      <c r="F266" s="8" t="s">
        <v>77</v>
      </c>
      <c r="G266" s="8" t="s">
        <v>129</v>
      </c>
      <c r="H266" s="10">
        <v>1</v>
      </c>
      <c r="I266" s="11">
        <v>829</v>
      </c>
      <c r="J266" s="12">
        <v>0.05</v>
      </c>
      <c r="K266" s="11">
        <f t="shared" si="8"/>
        <v>787.55</v>
      </c>
      <c r="L266" s="8" t="s">
        <v>57</v>
      </c>
      <c r="M266" s="8" t="s">
        <v>58</v>
      </c>
      <c r="N266" s="36" t="str">
        <f t="shared" si="9"/>
        <v>May-26</v>
      </c>
    </row>
    <row r="267" spans="1:14" ht="15" customHeight="1" x14ac:dyDescent="0.35">
      <c r="A267" s="35" t="s">
        <v>387</v>
      </c>
      <c r="B267" s="14">
        <v>46169</v>
      </c>
      <c r="C267" s="13" t="s">
        <v>65</v>
      </c>
      <c r="D267" s="13" t="s">
        <v>96</v>
      </c>
      <c r="E267" s="13" t="s">
        <v>82</v>
      </c>
      <c r="F267" s="13" t="s">
        <v>72</v>
      </c>
      <c r="G267" s="13" t="s">
        <v>127</v>
      </c>
      <c r="H267" s="15">
        <v>12</v>
      </c>
      <c r="I267" s="16">
        <v>2179</v>
      </c>
      <c r="J267" s="17">
        <v>0</v>
      </c>
      <c r="K267" s="16">
        <f t="shared" si="8"/>
        <v>26148</v>
      </c>
      <c r="L267" s="13" t="s">
        <v>57</v>
      </c>
      <c r="M267" s="13" t="s">
        <v>64</v>
      </c>
      <c r="N267" s="37" t="str">
        <f t="shared" si="9"/>
        <v>May-26</v>
      </c>
    </row>
    <row r="268" spans="1:14" ht="15" customHeight="1" x14ac:dyDescent="0.35">
      <c r="A268" s="34" t="s">
        <v>388</v>
      </c>
      <c r="B268" s="9">
        <v>46170</v>
      </c>
      <c r="C268" s="8" t="s">
        <v>59</v>
      </c>
      <c r="D268" s="8" t="s">
        <v>102</v>
      </c>
      <c r="E268" s="8" t="s">
        <v>71</v>
      </c>
      <c r="F268" s="8" t="s">
        <v>72</v>
      </c>
      <c r="G268" s="8" t="s">
        <v>147</v>
      </c>
      <c r="H268" s="10">
        <v>4</v>
      </c>
      <c r="I268" s="11">
        <v>1780</v>
      </c>
      <c r="J268" s="12">
        <v>0</v>
      </c>
      <c r="K268" s="11">
        <f t="shared" si="8"/>
        <v>7120</v>
      </c>
      <c r="L268" s="8" t="s">
        <v>74</v>
      </c>
      <c r="M268" s="8" t="s">
        <v>58</v>
      </c>
      <c r="N268" s="36" t="str">
        <f t="shared" si="9"/>
        <v>May-26</v>
      </c>
    </row>
    <row r="269" spans="1:14" ht="15" customHeight="1" x14ac:dyDescent="0.35">
      <c r="A269" s="35" t="s">
        <v>389</v>
      </c>
      <c r="B269" s="14">
        <v>46170</v>
      </c>
      <c r="C269" s="13" t="s">
        <v>65</v>
      </c>
      <c r="D269" s="13" t="s">
        <v>135</v>
      </c>
      <c r="E269" s="13" t="s">
        <v>82</v>
      </c>
      <c r="F269" s="13" t="s">
        <v>61</v>
      </c>
      <c r="G269" s="13" t="s">
        <v>133</v>
      </c>
      <c r="H269" s="15">
        <v>3</v>
      </c>
      <c r="I269" s="16">
        <v>1899</v>
      </c>
      <c r="J269" s="17">
        <v>0.1</v>
      </c>
      <c r="K269" s="16">
        <f t="shared" si="8"/>
        <v>5127.3</v>
      </c>
      <c r="L269" s="13" t="s">
        <v>63</v>
      </c>
      <c r="M269" s="13" t="s">
        <v>58</v>
      </c>
      <c r="N269" s="37" t="str">
        <f t="shared" si="9"/>
        <v>May-26</v>
      </c>
    </row>
    <row r="270" spans="1:14" ht="15" customHeight="1" x14ac:dyDescent="0.35">
      <c r="A270" s="34" t="s">
        <v>390</v>
      </c>
      <c r="B270" s="9">
        <v>46170</v>
      </c>
      <c r="C270" s="8" t="s">
        <v>59</v>
      </c>
      <c r="D270" s="8" t="s">
        <v>157</v>
      </c>
      <c r="E270" s="8" t="s">
        <v>71</v>
      </c>
      <c r="F270" s="8" t="s">
        <v>67</v>
      </c>
      <c r="G270" s="8" t="s">
        <v>94</v>
      </c>
      <c r="H270" s="10">
        <v>1</v>
      </c>
      <c r="I270" s="11">
        <v>1469</v>
      </c>
      <c r="J270" s="12">
        <v>0</v>
      </c>
      <c r="K270" s="11">
        <f t="shared" si="8"/>
        <v>1469</v>
      </c>
      <c r="L270" s="8" t="s">
        <v>57</v>
      </c>
      <c r="M270" s="8" t="s">
        <v>64</v>
      </c>
      <c r="N270" s="36" t="str">
        <f t="shared" si="9"/>
        <v>May-26</v>
      </c>
    </row>
    <row r="271" spans="1:14" ht="15" customHeight="1" x14ac:dyDescent="0.35">
      <c r="A271" s="35" t="s">
        <v>391</v>
      </c>
      <c r="B271" s="14">
        <v>46171</v>
      </c>
      <c r="C271" s="13" t="s">
        <v>59</v>
      </c>
      <c r="D271" s="13" t="s">
        <v>175</v>
      </c>
      <c r="E271" s="13" t="s">
        <v>71</v>
      </c>
      <c r="F271" s="13" t="s">
        <v>61</v>
      </c>
      <c r="G271" s="13" t="s">
        <v>125</v>
      </c>
      <c r="H271" s="15">
        <v>10</v>
      </c>
      <c r="I271" s="16">
        <v>549</v>
      </c>
      <c r="J271" s="17">
        <v>0.05</v>
      </c>
      <c r="K271" s="16">
        <f t="shared" si="8"/>
        <v>5215.5</v>
      </c>
      <c r="L271" s="13" t="s">
        <v>74</v>
      </c>
      <c r="M271" s="13" t="s">
        <v>58</v>
      </c>
      <c r="N271" s="37" t="str">
        <f t="shared" si="9"/>
        <v>May-26</v>
      </c>
    </row>
    <row r="272" spans="1:14" ht="15" customHeight="1" x14ac:dyDescent="0.35">
      <c r="A272" s="34" t="s">
        <v>392</v>
      </c>
      <c r="B272" s="9">
        <v>46171</v>
      </c>
      <c r="C272" s="8" t="s">
        <v>53</v>
      </c>
      <c r="D272" s="8" t="s">
        <v>108</v>
      </c>
      <c r="E272" s="8" t="s">
        <v>54</v>
      </c>
      <c r="F272" s="8" t="s">
        <v>72</v>
      </c>
      <c r="G272" s="8" t="s">
        <v>127</v>
      </c>
      <c r="H272" s="10">
        <v>6</v>
      </c>
      <c r="I272" s="11">
        <v>790</v>
      </c>
      <c r="J272" s="12">
        <v>0.1</v>
      </c>
      <c r="K272" s="11">
        <f t="shared" si="8"/>
        <v>4266</v>
      </c>
      <c r="L272" s="8" t="s">
        <v>57</v>
      </c>
      <c r="M272" s="8" t="s">
        <v>58</v>
      </c>
      <c r="N272" s="36" t="str">
        <f t="shared" si="9"/>
        <v>May-26</v>
      </c>
    </row>
    <row r="273" spans="1:14" ht="15" customHeight="1" x14ac:dyDescent="0.35">
      <c r="A273" s="35" t="s">
        <v>393</v>
      </c>
      <c r="B273" s="14">
        <v>46173</v>
      </c>
      <c r="C273" s="13" t="s">
        <v>53</v>
      </c>
      <c r="D273" s="13" t="s">
        <v>105</v>
      </c>
      <c r="E273" s="13" t="s">
        <v>54</v>
      </c>
      <c r="F273" s="13" t="s">
        <v>61</v>
      </c>
      <c r="G273" s="13" t="s">
        <v>154</v>
      </c>
      <c r="H273" s="15">
        <v>3</v>
      </c>
      <c r="I273" s="16">
        <v>630</v>
      </c>
      <c r="J273" s="17">
        <v>0</v>
      </c>
      <c r="K273" s="16">
        <f t="shared" si="8"/>
        <v>1890</v>
      </c>
      <c r="L273" s="13" t="s">
        <v>57</v>
      </c>
      <c r="M273" s="13" t="s">
        <v>64</v>
      </c>
      <c r="N273" s="37" t="str">
        <f t="shared" si="9"/>
        <v>May-26</v>
      </c>
    </row>
    <row r="274" spans="1:14" ht="15" customHeight="1" x14ac:dyDescent="0.35">
      <c r="A274" s="34" t="s">
        <v>394</v>
      </c>
      <c r="B274" s="9">
        <v>46173</v>
      </c>
      <c r="C274" s="8" t="s">
        <v>65</v>
      </c>
      <c r="D274" s="8" t="s">
        <v>96</v>
      </c>
      <c r="E274" s="8" t="s">
        <v>60</v>
      </c>
      <c r="F274" s="8" t="s">
        <v>77</v>
      </c>
      <c r="G274" s="8" t="s">
        <v>106</v>
      </c>
      <c r="H274" s="10">
        <v>3</v>
      </c>
      <c r="I274" s="11">
        <v>1160</v>
      </c>
      <c r="J274" s="12">
        <v>0</v>
      </c>
      <c r="K274" s="11">
        <f t="shared" si="8"/>
        <v>3480</v>
      </c>
      <c r="L274" s="8" t="s">
        <v>57</v>
      </c>
      <c r="M274" s="8" t="s">
        <v>58</v>
      </c>
      <c r="N274" s="36" t="str">
        <f t="shared" si="9"/>
        <v>May-26</v>
      </c>
    </row>
    <row r="275" spans="1:14" ht="15" customHeight="1" x14ac:dyDescent="0.35">
      <c r="A275" s="35" t="s">
        <v>395</v>
      </c>
      <c r="B275" s="14">
        <v>46174</v>
      </c>
      <c r="C275" s="13" t="s">
        <v>65</v>
      </c>
      <c r="D275" s="13" t="s">
        <v>116</v>
      </c>
      <c r="E275" s="13" t="s">
        <v>60</v>
      </c>
      <c r="F275" s="13" t="s">
        <v>72</v>
      </c>
      <c r="G275" s="13" t="s">
        <v>147</v>
      </c>
      <c r="H275" s="15">
        <v>7</v>
      </c>
      <c r="I275" s="16">
        <v>1070</v>
      </c>
      <c r="J275" s="17">
        <v>0</v>
      </c>
      <c r="K275" s="16">
        <f t="shared" si="8"/>
        <v>7490</v>
      </c>
      <c r="L275" s="13" t="s">
        <v>57</v>
      </c>
      <c r="M275" s="13" t="s">
        <v>58</v>
      </c>
      <c r="N275" s="37" t="str">
        <f t="shared" si="9"/>
        <v>Jun-26</v>
      </c>
    </row>
    <row r="276" spans="1:14" ht="15" customHeight="1" x14ac:dyDescent="0.35">
      <c r="A276" s="34" t="s">
        <v>396</v>
      </c>
      <c r="B276" s="9">
        <v>46174</v>
      </c>
      <c r="C276" s="8" t="s">
        <v>65</v>
      </c>
      <c r="D276" s="8" t="s">
        <v>135</v>
      </c>
      <c r="E276" s="8" t="s">
        <v>60</v>
      </c>
      <c r="F276" s="8" t="s">
        <v>61</v>
      </c>
      <c r="G276" s="8" t="s">
        <v>154</v>
      </c>
      <c r="H276" s="10">
        <v>3</v>
      </c>
      <c r="I276" s="11">
        <v>2479</v>
      </c>
      <c r="J276" s="12">
        <v>0.05</v>
      </c>
      <c r="K276" s="11">
        <f t="shared" si="8"/>
        <v>7065.15</v>
      </c>
      <c r="L276" s="8" t="s">
        <v>57</v>
      </c>
      <c r="M276" s="8" t="s">
        <v>58</v>
      </c>
      <c r="N276" s="36" t="str">
        <f t="shared" si="9"/>
        <v>Jun-26</v>
      </c>
    </row>
    <row r="277" spans="1:14" ht="15" customHeight="1" x14ac:dyDescent="0.35">
      <c r="A277" s="35" t="s">
        <v>397</v>
      </c>
      <c r="B277" s="14">
        <v>46175</v>
      </c>
      <c r="C277" s="13" t="s">
        <v>65</v>
      </c>
      <c r="D277" s="13" t="s">
        <v>116</v>
      </c>
      <c r="E277" s="13" t="s">
        <v>60</v>
      </c>
      <c r="F277" s="13" t="s">
        <v>55</v>
      </c>
      <c r="G277" s="13" t="s">
        <v>122</v>
      </c>
      <c r="H277" s="15">
        <v>6</v>
      </c>
      <c r="I277" s="16">
        <v>4290</v>
      </c>
      <c r="J277" s="17">
        <v>0.1</v>
      </c>
      <c r="K277" s="16">
        <f t="shared" si="8"/>
        <v>23166</v>
      </c>
      <c r="L277" s="13" t="s">
        <v>74</v>
      </c>
      <c r="M277" s="13" t="s">
        <v>58</v>
      </c>
      <c r="N277" s="37" t="str">
        <f t="shared" si="9"/>
        <v>Jun-26</v>
      </c>
    </row>
    <row r="278" spans="1:14" ht="15" customHeight="1" x14ac:dyDescent="0.35">
      <c r="A278" s="34" t="s">
        <v>398</v>
      </c>
      <c r="B278" s="9">
        <v>46176</v>
      </c>
      <c r="C278" s="8" t="s">
        <v>53</v>
      </c>
      <c r="D278" s="8" t="s">
        <v>105</v>
      </c>
      <c r="E278" s="8" t="s">
        <v>79</v>
      </c>
      <c r="F278" s="8" t="s">
        <v>72</v>
      </c>
      <c r="G278" s="8" t="s">
        <v>166</v>
      </c>
      <c r="H278" s="10">
        <v>2</v>
      </c>
      <c r="I278" s="11">
        <v>1929</v>
      </c>
      <c r="J278" s="12">
        <v>0</v>
      </c>
      <c r="K278" s="11">
        <f t="shared" si="8"/>
        <v>3858</v>
      </c>
      <c r="L278" s="8" t="s">
        <v>69</v>
      </c>
      <c r="M278" s="8" t="s">
        <v>64</v>
      </c>
      <c r="N278" s="36" t="str">
        <f t="shared" si="9"/>
        <v>Jun-26</v>
      </c>
    </row>
    <row r="279" spans="1:14" ht="15" customHeight="1" x14ac:dyDescent="0.35">
      <c r="A279" s="35" t="s">
        <v>399</v>
      </c>
      <c r="B279" s="14">
        <v>46176</v>
      </c>
      <c r="C279" s="13" t="s">
        <v>65</v>
      </c>
      <c r="D279" s="13" t="s">
        <v>135</v>
      </c>
      <c r="E279" s="13" t="s">
        <v>82</v>
      </c>
      <c r="F279" s="13" t="s">
        <v>72</v>
      </c>
      <c r="G279" s="13" t="s">
        <v>127</v>
      </c>
      <c r="H279" s="15">
        <v>11</v>
      </c>
      <c r="I279" s="16">
        <v>2939</v>
      </c>
      <c r="J279" s="17">
        <v>0.15</v>
      </c>
      <c r="K279" s="16">
        <f t="shared" si="8"/>
        <v>27479.649999999998</v>
      </c>
      <c r="L279" s="13" t="s">
        <v>63</v>
      </c>
      <c r="M279" s="13" t="s">
        <v>64</v>
      </c>
      <c r="N279" s="37" t="str">
        <f t="shared" si="9"/>
        <v>Jun-26</v>
      </c>
    </row>
    <row r="280" spans="1:14" ht="15" customHeight="1" x14ac:dyDescent="0.35">
      <c r="A280" s="34" t="s">
        <v>400</v>
      </c>
      <c r="B280" s="9">
        <v>46176</v>
      </c>
      <c r="C280" s="8" t="s">
        <v>65</v>
      </c>
      <c r="D280" s="8" t="s">
        <v>116</v>
      </c>
      <c r="E280" s="8" t="s">
        <v>60</v>
      </c>
      <c r="F280" s="8" t="s">
        <v>67</v>
      </c>
      <c r="G280" s="8" t="s">
        <v>100</v>
      </c>
      <c r="H280" s="10">
        <v>3</v>
      </c>
      <c r="I280" s="11">
        <v>1959</v>
      </c>
      <c r="J280" s="12">
        <v>0.15</v>
      </c>
      <c r="K280" s="11">
        <f t="shared" si="8"/>
        <v>4995.45</v>
      </c>
      <c r="L280" s="8" t="s">
        <v>69</v>
      </c>
      <c r="M280" s="8" t="s">
        <v>64</v>
      </c>
      <c r="N280" s="36" t="str">
        <f t="shared" si="9"/>
        <v>Jun-26</v>
      </c>
    </row>
    <row r="281" spans="1:14" ht="15" customHeight="1" x14ac:dyDescent="0.35">
      <c r="A281" s="35" t="s">
        <v>401</v>
      </c>
      <c r="B281" s="14">
        <v>46177</v>
      </c>
      <c r="C281" s="13" t="s">
        <v>53</v>
      </c>
      <c r="D281" s="13" t="s">
        <v>108</v>
      </c>
      <c r="E281" s="13" t="s">
        <v>54</v>
      </c>
      <c r="F281" s="13" t="s">
        <v>67</v>
      </c>
      <c r="G281" s="13" t="s">
        <v>114</v>
      </c>
      <c r="H281" s="15">
        <v>12</v>
      </c>
      <c r="I281" s="16">
        <v>3379</v>
      </c>
      <c r="J281" s="17">
        <v>0</v>
      </c>
      <c r="K281" s="16">
        <f t="shared" si="8"/>
        <v>40548</v>
      </c>
      <c r="L281" s="13" t="s">
        <v>57</v>
      </c>
      <c r="M281" s="13" t="s">
        <v>58</v>
      </c>
      <c r="N281" s="37" t="str">
        <f t="shared" si="9"/>
        <v>Jun-26</v>
      </c>
    </row>
    <row r="282" spans="1:14" ht="15" customHeight="1" x14ac:dyDescent="0.35">
      <c r="A282" s="34" t="s">
        <v>402</v>
      </c>
      <c r="B282" s="9">
        <v>46177</v>
      </c>
      <c r="C282" s="8" t="s">
        <v>65</v>
      </c>
      <c r="D282" s="8" t="s">
        <v>116</v>
      </c>
      <c r="E282" s="8" t="s">
        <v>60</v>
      </c>
      <c r="F282" s="8" t="s">
        <v>55</v>
      </c>
      <c r="G282" s="8" t="s">
        <v>109</v>
      </c>
      <c r="H282" s="10">
        <v>3</v>
      </c>
      <c r="I282" s="11">
        <v>2159</v>
      </c>
      <c r="J282" s="12">
        <v>0.1</v>
      </c>
      <c r="K282" s="11">
        <f t="shared" si="8"/>
        <v>5829.3</v>
      </c>
      <c r="L282" s="8" t="s">
        <v>57</v>
      </c>
      <c r="M282" s="8" t="s">
        <v>64</v>
      </c>
      <c r="N282" s="36" t="str">
        <f t="shared" si="9"/>
        <v>Jun-26</v>
      </c>
    </row>
    <row r="283" spans="1:14" ht="15" customHeight="1" x14ac:dyDescent="0.35">
      <c r="A283" s="35" t="s">
        <v>403</v>
      </c>
      <c r="B283" s="14">
        <v>46178</v>
      </c>
      <c r="C283" s="13" t="s">
        <v>59</v>
      </c>
      <c r="D283" s="13" t="s">
        <v>102</v>
      </c>
      <c r="E283" s="13" t="s">
        <v>71</v>
      </c>
      <c r="F283" s="13" t="s">
        <v>77</v>
      </c>
      <c r="G283" s="13" t="s">
        <v>106</v>
      </c>
      <c r="H283" s="15">
        <v>6</v>
      </c>
      <c r="I283" s="16">
        <v>1049</v>
      </c>
      <c r="J283" s="17">
        <v>0.1</v>
      </c>
      <c r="K283" s="16">
        <f t="shared" si="8"/>
        <v>5664.6</v>
      </c>
      <c r="L283" s="13" t="s">
        <v>57</v>
      </c>
      <c r="M283" s="13" t="s">
        <v>58</v>
      </c>
      <c r="N283" s="37" t="str">
        <f t="shared" si="9"/>
        <v>Jun-26</v>
      </c>
    </row>
    <row r="284" spans="1:14" ht="15" customHeight="1" x14ac:dyDescent="0.35">
      <c r="A284" s="34" t="s">
        <v>404</v>
      </c>
      <c r="B284" s="9">
        <v>46179</v>
      </c>
      <c r="C284" s="8" t="s">
        <v>65</v>
      </c>
      <c r="D284" s="8" t="s">
        <v>135</v>
      </c>
      <c r="E284" s="8" t="s">
        <v>60</v>
      </c>
      <c r="F284" s="8" t="s">
        <v>67</v>
      </c>
      <c r="G284" s="8" t="s">
        <v>94</v>
      </c>
      <c r="H284" s="10">
        <v>11</v>
      </c>
      <c r="I284" s="11">
        <v>1050</v>
      </c>
      <c r="J284" s="12">
        <v>0.1</v>
      </c>
      <c r="K284" s="11">
        <f t="shared" si="8"/>
        <v>10395</v>
      </c>
      <c r="L284" s="8" t="s">
        <v>74</v>
      </c>
      <c r="M284" s="8" t="s">
        <v>58</v>
      </c>
      <c r="N284" s="36" t="str">
        <f t="shared" si="9"/>
        <v>Jun-26</v>
      </c>
    </row>
    <row r="285" spans="1:14" ht="15" customHeight="1" x14ac:dyDescent="0.35">
      <c r="A285" s="35" t="s">
        <v>405</v>
      </c>
      <c r="B285" s="14">
        <v>46179</v>
      </c>
      <c r="C285" s="13" t="s">
        <v>53</v>
      </c>
      <c r="D285" s="13" t="s">
        <v>105</v>
      </c>
      <c r="E285" s="13" t="s">
        <v>54</v>
      </c>
      <c r="F285" s="13" t="s">
        <v>72</v>
      </c>
      <c r="G285" s="13" t="s">
        <v>127</v>
      </c>
      <c r="H285" s="15">
        <v>11</v>
      </c>
      <c r="I285" s="16">
        <v>2239</v>
      </c>
      <c r="J285" s="17">
        <v>0</v>
      </c>
      <c r="K285" s="16">
        <f t="shared" si="8"/>
        <v>24629</v>
      </c>
      <c r="L285" s="13" t="s">
        <v>69</v>
      </c>
      <c r="M285" s="13" t="s">
        <v>64</v>
      </c>
      <c r="N285" s="37" t="str">
        <f t="shared" si="9"/>
        <v>Jun-26</v>
      </c>
    </row>
    <row r="286" spans="1:14" ht="15" customHeight="1" x14ac:dyDescent="0.35">
      <c r="A286" s="34" t="s">
        <v>406</v>
      </c>
      <c r="B286" s="9">
        <v>46180</v>
      </c>
      <c r="C286" s="8" t="s">
        <v>65</v>
      </c>
      <c r="D286" s="8" t="s">
        <v>116</v>
      </c>
      <c r="E286" s="8" t="s">
        <v>60</v>
      </c>
      <c r="F286" s="8" t="s">
        <v>77</v>
      </c>
      <c r="G286" s="8" t="s">
        <v>119</v>
      </c>
      <c r="H286" s="10">
        <v>3</v>
      </c>
      <c r="I286" s="11">
        <v>1129</v>
      </c>
      <c r="J286" s="12">
        <v>0.05</v>
      </c>
      <c r="K286" s="11">
        <f t="shared" si="8"/>
        <v>3217.6499999999996</v>
      </c>
      <c r="L286" s="8" t="s">
        <v>63</v>
      </c>
      <c r="M286" s="8" t="s">
        <v>64</v>
      </c>
      <c r="N286" s="36" t="str">
        <f t="shared" si="9"/>
        <v>Jun-26</v>
      </c>
    </row>
    <row r="287" spans="1:14" ht="15" customHeight="1" x14ac:dyDescent="0.35">
      <c r="A287" s="35" t="s">
        <v>407</v>
      </c>
      <c r="B287" s="14">
        <v>46180</v>
      </c>
      <c r="C287" s="13" t="s">
        <v>53</v>
      </c>
      <c r="D287" s="13" t="s">
        <v>99</v>
      </c>
      <c r="E287" s="13" t="s">
        <v>79</v>
      </c>
      <c r="F287" s="13" t="s">
        <v>67</v>
      </c>
      <c r="G287" s="13" t="s">
        <v>100</v>
      </c>
      <c r="H287" s="15">
        <v>3</v>
      </c>
      <c r="I287" s="16">
        <v>2149</v>
      </c>
      <c r="J287" s="17">
        <v>0.05</v>
      </c>
      <c r="K287" s="16">
        <f t="shared" si="8"/>
        <v>6124.65</v>
      </c>
      <c r="L287" s="13" t="s">
        <v>69</v>
      </c>
      <c r="M287" s="13" t="s">
        <v>58</v>
      </c>
      <c r="N287" s="37" t="str">
        <f t="shared" si="9"/>
        <v>Jun-26</v>
      </c>
    </row>
    <row r="288" spans="1:14" ht="15" customHeight="1" x14ac:dyDescent="0.35">
      <c r="A288" s="34" t="s">
        <v>408</v>
      </c>
      <c r="B288" s="9">
        <v>46182</v>
      </c>
      <c r="C288" s="8" t="s">
        <v>59</v>
      </c>
      <c r="D288" s="8" t="s">
        <v>102</v>
      </c>
      <c r="E288" s="8" t="s">
        <v>71</v>
      </c>
      <c r="F288" s="8" t="s">
        <v>61</v>
      </c>
      <c r="G288" s="8" t="s">
        <v>138</v>
      </c>
      <c r="H288" s="10">
        <v>8</v>
      </c>
      <c r="I288" s="11">
        <v>2079</v>
      </c>
      <c r="J288" s="12">
        <v>0.1</v>
      </c>
      <c r="K288" s="11">
        <f t="shared" si="8"/>
        <v>14968.800000000001</v>
      </c>
      <c r="L288" s="8" t="s">
        <v>69</v>
      </c>
      <c r="M288" s="8" t="s">
        <v>58</v>
      </c>
      <c r="N288" s="36" t="str">
        <f t="shared" si="9"/>
        <v>Jun-26</v>
      </c>
    </row>
    <row r="289" spans="1:14" ht="15" customHeight="1" x14ac:dyDescent="0.35">
      <c r="A289" s="35" t="s">
        <v>409</v>
      </c>
      <c r="B289" s="14">
        <v>46182</v>
      </c>
      <c r="C289" s="13" t="s">
        <v>59</v>
      </c>
      <c r="D289" s="13" t="s">
        <v>157</v>
      </c>
      <c r="E289" s="13" t="s">
        <v>66</v>
      </c>
      <c r="F289" s="13" t="s">
        <v>67</v>
      </c>
      <c r="G289" s="13" t="s">
        <v>103</v>
      </c>
      <c r="H289" s="15">
        <v>7</v>
      </c>
      <c r="I289" s="16">
        <v>3119</v>
      </c>
      <c r="J289" s="17">
        <v>0</v>
      </c>
      <c r="K289" s="16">
        <f t="shared" si="8"/>
        <v>21833</v>
      </c>
      <c r="L289" s="13" t="s">
        <v>57</v>
      </c>
      <c r="M289" s="13" t="s">
        <v>58</v>
      </c>
      <c r="N289" s="37" t="str">
        <f t="shared" si="9"/>
        <v>Jun-26</v>
      </c>
    </row>
    <row r="290" spans="1:14" ht="15" customHeight="1" x14ac:dyDescent="0.35">
      <c r="A290" s="34" t="s">
        <v>410</v>
      </c>
      <c r="B290" s="9">
        <v>46183</v>
      </c>
      <c r="C290" s="8" t="s">
        <v>65</v>
      </c>
      <c r="D290" s="8" t="s">
        <v>96</v>
      </c>
      <c r="E290" s="8" t="s">
        <v>82</v>
      </c>
      <c r="F290" s="8" t="s">
        <v>67</v>
      </c>
      <c r="G290" s="8" t="s">
        <v>114</v>
      </c>
      <c r="H290" s="10">
        <v>12</v>
      </c>
      <c r="I290" s="11">
        <v>3050</v>
      </c>
      <c r="J290" s="12">
        <v>0.1</v>
      </c>
      <c r="K290" s="11">
        <f t="shared" si="8"/>
        <v>32940</v>
      </c>
      <c r="L290" s="8" t="s">
        <v>74</v>
      </c>
      <c r="M290" s="8" t="s">
        <v>64</v>
      </c>
      <c r="N290" s="36" t="str">
        <f t="shared" si="9"/>
        <v>Jun-26</v>
      </c>
    </row>
    <row r="291" spans="1:14" ht="15" customHeight="1" x14ac:dyDescent="0.35">
      <c r="A291" s="35" t="s">
        <v>411</v>
      </c>
      <c r="B291" s="14">
        <v>46184</v>
      </c>
      <c r="C291" s="13" t="s">
        <v>70</v>
      </c>
      <c r="D291" s="13" t="s">
        <v>111</v>
      </c>
      <c r="E291" s="13" t="s">
        <v>76</v>
      </c>
      <c r="F291" s="13" t="s">
        <v>55</v>
      </c>
      <c r="G291" s="13" t="s">
        <v>122</v>
      </c>
      <c r="H291" s="15">
        <v>5</v>
      </c>
      <c r="I291" s="16">
        <v>2509</v>
      </c>
      <c r="J291" s="17">
        <v>0</v>
      </c>
      <c r="K291" s="16">
        <f t="shared" si="8"/>
        <v>12545</v>
      </c>
      <c r="L291" s="13" t="s">
        <v>69</v>
      </c>
      <c r="M291" s="13" t="s">
        <v>58</v>
      </c>
      <c r="N291" s="37" t="str">
        <f t="shared" si="9"/>
        <v>Jun-26</v>
      </c>
    </row>
    <row r="292" spans="1:14" ht="15" customHeight="1" x14ac:dyDescent="0.35">
      <c r="A292" s="34" t="s">
        <v>412</v>
      </c>
      <c r="B292" s="9">
        <v>46185</v>
      </c>
      <c r="C292" s="8" t="s">
        <v>70</v>
      </c>
      <c r="D292" s="8" t="s">
        <v>111</v>
      </c>
      <c r="E292" s="8" t="s">
        <v>81</v>
      </c>
      <c r="F292" s="8" t="s">
        <v>72</v>
      </c>
      <c r="G292" s="8" t="s">
        <v>147</v>
      </c>
      <c r="H292" s="10">
        <v>2</v>
      </c>
      <c r="I292" s="11">
        <v>2779</v>
      </c>
      <c r="J292" s="12">
        <v>0.1</v>
      </c>
      <c r="K292" s="11">
        <f t="shared" si="8"/>
        <v>5002.2</v>
      </c>
      <c r="L292" s="8" t="s">
        <v>57</v>
      </c>
      <c r="M292" s="8" t="s">
        <v>58</v>
      </c>
      <c r="N292" s="36" t="str">
        <f t="shared" si="9"/>
        <v>Jun-26</v>
      </c>
    </row>
    <row r="293" spans="1:14" ht="15" customHeight="1" x14ac:dyDescent="0.35">
      <c r="A293" s="35" t="s">
        <v>413</v>
      </c>
      <c r="B293" s="14">
        <v>46185</v>
      </c>
      <c r="C293" s="13" t="s">
        <v>59</v>
      </c>
      <c r="D293" s="13" t="s">
        <v>157</v>
      </c>
      <c r="E293" s="13" t="s">
        <v>66</v>
      </c>
      <c r="F293" s="13" t="s">
        <v>77</v>
      </c>
      <c r="G293" s="13" t="s">
        <v>106</v>
      </c>
      <c r="H293" s="15">
        <v>7</v>
      </c>
      <c r="I293" s="16">
        <v>1369</v>
      </c>
      <c r="J293" s="17">
        <v>0</v>
      </c>
      <c r="K293" s="16">
        <f t="shared" si="8"/>
        <v>9583</v>
      </c>
      <c r="L293" s="13" t="s">
        <v>69</v>
      </c>
      <c r="M293" s="13" t="s">
        <v>58</v>
      </c>
      <c r="N293" s="37" t="str">
        <f t="shared" si="9"/>
        <v>Jun-26</v>
      </c>
    </row>
    <row r="294" spans="1:14" ht="15" customHeight="1" x14ac:dyDescent="0.35">
      <c r="A294" s="34" t="s">
        <v>414</v>
      </c>
      <c r="B294" s="9">
        <v>46185</v>
      </c>
      <c r="C294" s="8" t="s">
        <v>65</v>
      </c>
      <c r="D294" s="8" t="s">
        <v>96</v>
      </c>
      <c r="E294" s="8" t="s">
        <v>60</v>
      </c>
      <c r="F294" s="8" t="s">
        <v>72</v>
      </c>
      <c r="G294" s="8" t="s">
        <v>127</v>
      </c>
      <c r="H294" s="10">
        <v>6</v>
      </c>
      <c r="I294" s="11">
        <v>1089</v>
      </c>
      <c r="J294" s="12">
        <v>0.05</v>
      </c>
      <c r="K294" s="11">
        <f t="shared" si="8"/>
        <v>6207.2999999999993</v>
      </c>
      <c r="L294" s="8" t="s">
        <v>57</v>
      </c>
      <c r="M294" s="8" t="s">
        <v>58</v>
      </c>
      <c r="N294" s="36" t="str">
        <f t="shared" si="9"/>
        <v>Jun-26</v>
      </c>
    </row>
    <row r="295" spans="1:14" ht="15" customHeight="1" x14ac:dyDescent="0.35">
      <c r="A295" s="35" t="s">
        <v>415</v>
      </c>
      <c r="B295" s="14">
        <v>46185</v>
      </c>
      <c r="C295" s="13" t="s">
        <v>65</v>
      </c>
      <c r="D295" s="13" t="s">
        <v>116</v>
      </c>
      <c r="E295" s="13" t="s">
        <v>60</v>
      </c>
      <c r="F295" s="13" t="s">
        <v>61</v>
      </c>
      <c r="G295" s="13" t="s">
        <v>154</v>
      </c>
      <c r="H295" s="15">
        <v>12</v>
      </c>
      <c r="I295" s="16">
        <v>780</v>
      </c>
      <c r="J295" s="17">
        <v>0.05</v>
      </c>
      <c r="K295" s="16">
        <f t="shared" si="8"/>
        <v>8892</v>
      </c>
      <c r="L295" s="13" t="s">
        <v>63</v>
      </c>
      <c r="M295" s="13" t="s">
        <v>58</v>
      </c>
      <c r="N295" s="37" t="str">
        <f t="shared" si="9"/>
        <v>Jun-26</v>
      </c>
    </row>
    <row r="296" spans="1:14" ht="15" customHeight="1" x14ac:dyDescent="0.35">
      <c r="A296" s="34" t="s">
        <v>416</v>
      </c>
      <c r="B296" s="9">
        <v>46186</v>
      </c>
      <c r="C296" s="8" t="s">
        <v>65</v>
      </c>
      <c r="D296" s="8" t="s">
        <v>96</v>
      </c>
      <c r="E296" s="8" t="s">
        <v>60</v>
      </c>
      <c r="F296" s="8" t="s">
        <v>55</v>
      </c>
      <c r="G296" s="8" t="s">
        <v>112</v>
      </c>
      <c r="H296" s="10">
        <v>1</v>
      </c>
      <c r="I296" s="11">
        <v>2730</v>
      </c>
      <c r="J296" s="12">
        <v>0.15</v>
      </c>
      <c r="K296" s="11">
        <f t="shared" si="8"/>
        <v>2320.5</v>
      </c>
      <c r="L296" s="8" t="s">
        <v>57</v>
      </c>
      <c r="M296" s="8" t="s">
        <v>58</v>
      </c>
      <c r="N296" s="36" t="str">
        <f t="shared" si="9"/>
        <v>Jun-26</v>
      </c>
    </row>
    <row r="297" spans="1:14" ht="15" customHeight="1" x14ac:dyDescent="0.35">
      <c r="A297" s="35" t="s">
        <v>417</v>
      </c>
      <c r="B297" s="14">
        <v>46186</v>
      </c>
      <c r="C297" s="13" t="s">
        <v>59</v>
      </c>
      <c r="D297" s="13" t="s">
        <v>102</v>
      </c>
      <c r="E297" s="13" t="s">
        <v>66</v>
      </c>
      <c r="F297" s="13" t="s">
        <v>77</v>
      </c>
      <c r="G297" s="13" t="s">
        <v>106</v>
      </c>
      <c r="H297" s="15">
        <v>1</v>
      </c>
      <c r="I297" s="16">
        <v>309</v>
      </c>
      <c r="J297" s="17">
        <v>0.1</v>
      </c>
      <c r="K297" s="16">
        <f t="shared" si="8"/>
        <v>278.10000000000002</v>
      </c>
      <c r="L297" s="13" t="s">
        <v>69</v>
      </c>
      <c r="M297" s="13" t="s">
        <v>58</v>
      </c>
      <c r="N297" s="37" t="str">
        <f t="shared" si="9"/>
        <v>Jun-26</v>
      </c>
    </row>
    <row r="298" spans="1:14" ht="15" customHeight="1" x14ac:dyDescent="0.35">
      <c r="A298" s="34" t="s">
        <v>418</v>
      </c>
      <c r="B298" s="9">
        <v>46186</v>
      </c>
      <c r="C298" s="8" t="s">
        <v>65</v>
      </c>
      <c r="D298" s="8" t="s">
        <v>135</v>
      </c>
      <c r="E298" s="8" t="s">
        <v>60</v>
      </c>
      <c r="F298" s="8" t="s">
        <v>61</v>
      </c>
      <c r="G298" s="8" t="s">
        <v>125</v>
      </c>
      <c r="H298" s="10">
        <v>10</v>
      </c>
      <c r="I298" s="11">
        <v>1959</v>
      </c>
      <c r="J298" s="12">
        <v>0</v>
      </c>
      <c r="K298" s="11">
        <f t="shared" si="8"/>
        <v>19590</v>
      </c>
      <c r="L298" s="8" t="s">
        <v>63</v>
      </c>
      <c r="M298" s="8" t="s">
        <v>58</v>
      </c>
      <c r="N298" s="36" t="str">
        <f t="shared" si="9"/>
        <v>Jun-26</v>
      </c>
    </row>
    <row r="299" spans="1:14" ht="15" customHeight="1" x14ac:dyDescent="0.35">
      <c r="A299" s="35" t="s">
        <v>419</v>
      </c>
      <c r="B299" s="14">
        <v>46188</v>
      </c>
      <c r="C299" s="13" t="s">
        <v>53</v>
      </c>
      <c r="D299" s="13" t="s">
        <v>99</v>
      </c>
      <c r="E299" s="13" t="s">
        <v>79</v>
      </c>
      <c r="F299" s="13" t="s">
        <v>72</v>
      </c>
      <c r="G299" s="13" t="s">
        <v>147</v>
      </c>
      <c r="H299" s="15">
        <v>9</v>
      </c>
      <c r="I299" s="16">
        <v>1610</v>
      </c>
      <c r="J299" s="17">
        <v>0.1</v>
      </c>
      <c r="K299" s="16">
        <f t="shared" si="8"/>
        <v>13041</v>
      </c>
      <c r="L299" s="13" t="s">
        <v>57</v>
      </c>
      <c r="M299" s="13" t="s">
        <v>64</v>
      </c>
      <c r="N299" s="37" t="str">
        <f t="shared" si="9"/>
        <v>Jun-26</v>
      </c>
    </row>
    <row r="300" spans="1:14" ht="15" customHeight="1" x14ac:dyDescent="0.35">
      <c r="A300" s="34" t="s">
        <v>420</v>
      </c>
      <c r="B300" s="9">
        <v>46189</v>
      </c>
      <c r="C300" s="8" t="s">
        <v>70</v>
      </c>
      <c r="D300" s="8" t="s">
        <v>93</v>
      </c>
      <c r="E300" s="8" t="s">
        <v>76</v>
      </c>
      <c r="F300" s="8" t="s">
        <v>72</v>
      </c>
      <c r="G300" s="8" t="s">
        <v>147</v>
      </c>
      <c r="H300" s="10">
        <v>10</v>
      </c>
      <c r="I300" s="11">
        <v>999</v>
      </c>
      <c r="J300" s="12">
        <v>0</v>
      </c>
      <c r="K300" s="11">
        <f t="shared" si="8"/>
        <v>9990</v>
      </c>
      <c r="L300" s="8" t="s">
        <v>69</v>
      </c>
      <c r="M300" s="8" t="s">
        <v>58</v>
      </c>
      <c r="N300" s="36" t="str">
        <f t="shared" si="9"/>
        <v>Jun-26</v>
      </c>
    </row>
    <row r="301" spans="1:14" ht="15" customHeight="1" x14ac:dyDescent="0.35">
      <c r="A301" s="35" t="s">
        <v>421</v>
      </c>
      <c r="B301" s="14">
        <v>46190</v>
      </c>
      <c r="C301" s="13" t="s">
        <v>53</v>
      </c>
      <c r="D301" s="13" t="s">
        <v>99</v>
      </c>
      <c r="E301" s="13" t="s">
        <v>54</v>
      </c>
      <c r="F301" s="13" t="s">
        <v>72</v>
      </c>
      <c r="G301" s="13" t="s">
        <v>147</v>
      </c>
      <c r="H301" s="15">
        <v>6</v>
      </c>
      <c r="I301" s="16">
        <v>2229</v>
      </c>
      <c r="J301" s="17">
        <v>0.05</v>
      </c>
      <c r="K301" s="16">
        <f t="shared" si="8"/>
        <v>12705.3</v>
      </c>
      <c r="L301" s="13" t="s">
        <v>63</v>
      </c>
      <c r="M301" s="13" t="s">
        <v>64</v>
      </c>
      <c r="N301" s="37" t="str">
        <f t="shared" si="9"/>
        <v>Jun-26</v>
      </c>
    </row>
    <row r="302" spans="1:14" ht="15" customHeight="1" x14ac:dyDescent="0.35">
      <c r="A302" s="34" t="s">
        <v>422</v>
      </c>
      <c r="B302" s="9">
        <v>46190</v>
      </c>
      <c r="C302" s="8" t="s">
        <v>65</v>
      </c>
      <c r="D302" s="8" t="s">
        <v>116</v>
      </c>
      <c r="E302" s="8" t="s">
        <v>60</v>
      </c>
      <c r="F302" s="8" t="s">
        <v>77</v>
      </c>
      <c r="G302" s="8" t="s">
        <v>119</v>
      </c>
      <c r="H302" s="10">
        <v>5</v>
      </c>
      <c r="I302" s="11">
        <v>209</v>
      </c>
      <c r="J302" s="12">
        <v>0</v>
      </c>
      <c r="K302" s="11">
        <f t="shared" si="8"/>
        <v>1045</v>
      </c>
      <c r="L302" s="8" t="s">
        <v>69</v>
      </c>
      <c r="M302" s="8" t="s">
        <v>58</v>
      </c>
      <c r="N302" s="36" t="str">
        <f t="shared" si="9"/>
        <v>Jun-26</v>
      </c>
    </row>
    <row r="303" spans="1:14" ht="15" customHeight="1" x14ac:dyDescent="0.35">
      <c r="A303" s="35" t="s">
        <v>423</v>
      </c>
      <c r="B303" s="14">
        <v>46190</v>
      </c>
      <c r="C303" s="13" t="s">
        <v>53</v>
      </c>
      <c r="D303" s="13" t="s">
        <v>99</v>
      </c>
      <c r="E303" s="13" t="s">
        <v>79</v>
      </c>
      <c r="F303" s="13" t="s">
        <v>77</v>
      </c>
      <c r="G303" s="13" t="s">
        <v>119</v>
      </c>
      <c r="H303" s="15">
        <v>4</v>
      </c>
      <c r="I303" s="16">
        <v>489</v>
      </c>
      <c r="J303" s="17">
        <v>0</v>
      </c>
      <c r="K303" s="16">
        <f t="shared" si="8"/>
        <v>1956</v>
      </c>
      <c r="L303" s="13" t="s">
        <v>57</v>
      </c>
      <c r="M303" s="13" t="s">
        <v>58</v>
      </c>
      <c r="N303" s="37" t="str">
        <f t="shared" si="9"/>
        <v>Jun-26</v>
      </c>
    </row>
    <row r="304" spans="1:14" ht="15" customHeight="1" x14ac:dyDescent="0.35">
      <c r="A304" s="34" t="s">
        <v>424</v>
      </c>
      <c r="B304" s="9">
        <v>46192</v>
      </c>
      <c r="C304" s="8" t="s">
        <v>59</v>
      </c>
      <c r="D304" s="8" t="s">
        <v>102</v>
      </c>
      <c r="E304" s="8" t="s">
        <v>66</v>
      </c>
      <c r="F304" s="8" t="s">
        <v>61</v>
      </c>
      <c r="G304" s="8" t="s">
        <v>138</v>
      </c>
      <c r="H304" s="10">
        <v>1</v>
      </c>
      <c r="I304" s="11">
        <v>1169</v>
      </c>
      <c r="J304" s="12">
        <v>0.1</v>
      </c>
      <c r="K304" s="11">
        <f t="shared" si="8"/>
        <v>1052.1000000000001</v>
      </c>
      <c r="L304" s="8" t="s">
        <v>69</v>
      </c>
      <c r="M304" s="8" t="s">
        <v>58</v>
      </c>
      <c r="N304" s="36" t="str">
        <f t="shared" si="9"/>
        <v>Jun-26</v>
      </c>
    </row>
    <row r="305" spans="1:14" ht="15" customHeight="1" x14ac:dyDescent="0.35">
      <c r="A305" s="35" t="s">
        <v>425</v>
      </c>
      <c r="B305" s="14">
        <v>46192</v>
      </c>
      <c r="C305" s="13" t="s">
        <v>65</v>
      </c>
      <c r="D305" s="13" t="s">
        <v>96</v>
      </c>
      <c r="E305" s="13" t="s">
        <v>60</v>
      </c>
      <c r="F305" s="13" t="s">
        <v>55</v>
      </c>
      <c r="G305" s="13" t="s">
        <v>112</v>
      </c>
      <c r="H305" s="15">
        <v>10</v>
      </c>
      <c r="I305" s="16">
        <v>4989</v>
      </c>
      <c r="J305" s="17">
        <v>0.05</v>
      </c>
      <c r="K305" s="16">
        <f t="shared" si="8"/>
        <v>47395.5</v>
      </c>
      <c r="L305" s="13" t="s">
        <v>57</v>
      </c>
      <c r="M305" s="13" t="s">
        <v>58</v>
      </c>
      <c r="N305" s="37" t="str">
        <f t="shared" si="9"/>
        <v>Jun-26</v>
      </c>
    </row>
    <row r="306" spans="1:14" ht="15" customHeight="1" x14ac:dyDescent="0.35">
      <c r="A306" s="34" t="s">
        <v>426</v>
      </c>
      <c r="B306" s="9">
        <v>46193</v>
      </c>
      <c r="C306" s="8" t="s">
        <v>53</v>
      </c>
      <c r="D306" s="8" t="s">
        <v>105</v>
      </c>
      <c r="E306" s="8" t="s">
        <v>54</v>
      </c>
      <c r="F306" s="8" t="s">
        <v>61</v>
      </c>
      <c r="G306" s="8" t="s">
        <v>154</v>
      </c>
      <c r="H306" s="10">
        <v>3</v>
      </c>
      <c r="I306" s="11">
        <v>2289</v>
      </c>
      <c r="J306" s="12">
        <v>0</v>
      </c>
      <c r="K306" s="11">
        <f t="shared" si="8"/>
        <v>6867</v>
      </c>
      <c r="L306" s="8" t="s">
        <v>57</v>
      </c>
      <c r="M306" s="8" t="s">
        <v>58</v>
      </c>
      <c r="N306" s="36" t="str">
        <f t="shared" si="9"/>
        <v>Jun-26</v>
      </c>
    </row>
    <row r="307" spans="1:14" ht="15" customHeight="1" x14ac:dyDescent="0.35">
      <c r="A307" s="35" t="s">
        <v>427</v>
      </c>
      <c r="B307" s="14">
        <v>46194</v>
      </c>
      <c r="C307" s="13" t="s">
        <v>70</v>
      </c>
      <c r="D307" s="13" t="s">
        <v>124</v>
      </c>
      <c r="E307" s="13" t="s">
        <v>81</v>
      </c>
      <c r="F307" s="13" t="s">
        <v>72</v>
      </c>
      <c r="G307" s="13" t="s">
        <v>166</v>
      </c>
      <c r="H307" s="15">
        <v>5</v>
      </c>
      <c r="I307" s="16">
        <v>569</v>
      </c>
      <c r="J307" s="17">
        <v>0</v>
      </c>
      <c r="K307" s="16">
        <f t="shared" si="8"/>
        <v>2845</v>
      </c>
      <c r="L307" s="13" t="s">
        <v>74</v>
      </c>
      <c r="M307" s="13" t="s">
        <v>58</v>
      </c>
      <c r="N307" s="37" t="str">
        <f t="shared" si="9"/>
        <v>Jun-26</v>
      </c>
    </row>
    <row r="308" spans="1:14" ht="15" customHeight="1" x14ac:dyDescent="0.35">
      <c r="A308" s="34" t="s">
        <v>428</v>
      </c>
      <c r="B308" s="9">
        <v>46195</v>
      </c>
      <c r="C308" s="8" t="s">
        <v>70</v>
      </c>
      <c r="D308" s="8" t="s">
        <v>93</v>
      </c>
      <c r="E308" s="8" t="s">
        <v>81</v>
      </c>
      <c r="F308" s="8" t="s">
        <v>61</v>
      </c>
      <c r="G308" s="8" t="s">
        <v>138</v>
      </c>
      <c r="H308" s="10">
        <v>9</v>
      </c>
      <c r="I308" s="11">
        <v>1269</v>
      </c>
      <c r="J308" s="12">
        <v>0</v>
      </c>
      <c r="K308" s="11">
        <f t="shared" si="8"/>
        <v>11421</v>
      </c>
      <c r="L308" s="8" t="s">
        <v>57</v>
      </c>
      <c r="M308" s="8" t="s">
        <v>58</v>
      </c>
      <c r="N308" s="36" t="str">
        <f t="shared" si="9"/>
        <v>Jun-26</v>
      </c>
    </row>
    <row r="309" spans="1:14" ht="15" customHeight="1" x14ac:dyDescent="0.35">
      <c r="A309" s="35" t="s">
        <v>429</v>
      </c>
      <c r="B309" s="14">
        <v>46197</v>
      </c>
      <c r="C309" s="13" t="s">
        <v>59</v>
      </c>
      <c r="D309" s="13" t="s">
        <v>175</v>
      </c>
      <c r="E309" s="13" t="s">
        <v>66</v>
      </c>
      <c r="F309" s="13" t="s">
        <v>55</v>
      </c>
      <c r="G309" s="13" t="s">
        <v>122</v>
      </c>
      <c r="H309" s="15">
        <v>8</v>
      </c>
      <c r="I309" s="16">
        <v>1109</v>
      </c>
      <c r="J309" s="17">
        <v>0.15</v>
      </c>
      <c r="K309" s="16">
        <f t="shared" si="8"/>
        <v>7541.2</v>
      </c>
      <c r="L309" s="13" t="s">
        <v>57</v>
      </c>
      <c r="M309" s="13" t="s">
        <v>58</v>
      </c>
      <c r="N309" s="37" t="str">
        <f t="shared" si="9"/>
        <v>Jun-26</v>
      </c>
    </row>
    <row r="310" spans="1:14" ht="15" customHeight="1" x14ac:dyDescent="0.35">
      <c r="A310" s="34" t="s">
        <v>430</v>
      </c>
      <c r="B310" s="9">
        <v>46197</v>
      </c>
      <c r="C310" s="8" t="s">
        <v>65</v>
      </c>
      <c r="D310" s="8" t="s">
        <v>116</v>
      </c>
      <c r="E310" s="8" t="s">
        <v>60</v>
      </c>
      <c r="F310" s="8" t="s">
        <v>72</v>
      </c>
      <c r="G310" s="8" t="s">
        <v>147</v>
      </c>
      <c r="H310" s="10">
        <v>10</v>
      </c>
      <c r="I310" s="11">
        <v>1960</v>
      </c>
      <c r="J310" s="12">
        <v>0</v>
      </c>
      <c r="K310" s="11">
        <f t="shared" si="8"/>
        <v>19600</v>
      </c>
      <c r="L310" s="8" t="s">
        <v>57</v>
      </c>
      <c r="M310" s="8" t="s">
        <v>58</v>
      </c>
      <c r="N310" s="36" t="str">
        <f t="shared" si="9"/>
        <v>Jun-26</v>
      </c>
    </row>
    <row r="311" spans="1:14" ht="15" customHeight="1" x14ac:dyDescent="0.35">
      <c r="A311" s="35" t="s">
        <v>431</v>
      </c>
      <c r="B311" s="14">
        <v>46198</v>
      </c>
      <c r="C311" s="13" t="s">
        <v>53</v>
      </c>
      <c r="D311" s="13" t="s">
        <v>108</v>
      </c>
      <c r="E311" s="13" t="s">
        <v>54</v>
      </c>
      <c r="F311" s="13" t="s">
        <v>77</v>
      </c>
      <c r="G311" s="13" t="s">
        <v>149</v>
      </c>
      <c r="H311" s="15">
        <v>3</v>
      </c>
      <c r="I311" s="16">
        <v>819</v>
      </c>
      <c r="J311" s="17">
        <v>0.2</v>
      </c>
      <c r="K311" s="16">
        <f t="shared" si="8"/>
        <v>1965.6000000000001</v>
      </c>
      <c r="L311" s="13" t="s">
        <v>63</v>
      </c>
      <c r="M311" s="13" t="s">
        <v>58</v>
      </c>
      <c r="N311" s="37" t="str">
        <f t="shared" si="9"/>
        <v>Jun-26</v>
      </c>
    </row>
    <row r="312" spans="1:14" ht="15" customHeight="1" x14ac:dyDescent="0.35">
      <c r="A312" s="34" t="s">
        <v>432</v>
      </c>
      <c r="B312" s="9">
        <v>46198</v>
      </c>
      <c r="C312" s="8" t="s">
        <v>53</v>
      </c>
      <c r="D312" s="8" t="s">
        <v>105</v>
      </c>
      <c r="E312" s="8" t="s">
        <v>79</v>
      </c>
      <c r="F312" s="8" t="s">
        <v>67</v>
      </c>
      <c r="G312" s="8" t="s">
        <v>94</v>
      </c>
      <c r="H312" s="10">
        <v>12</v>
      </c>
      <c r="I312" s="11">
        <v>1579</v>
      </c>
      <c r="J312" s="12">
        <v>0.05</v>
      </c>
      <c r="K312" s="11">
        <f t="shared" si="8"/>
        <v>18000.599999999999</v>
      </c>
      <c r="L312" s="8" t="s">
        <v>57</v>
      </c>
      <c r="M312" s="8" t="s">
        <v>58</v>
      </c>
      <c r="N312" s="36" t="str">
        <f t="shared" si="9"/>
        <v>Jun-26</v>
      </c>
    </row>
    <row r="313" spans="1:14" ht="15" customHeight="1" x14ac:dyDescent="0.35">
      <c r="A313" s="35" t="s">
        <v>433</v>
      </c>
      <c r="B313" s="14">
        <v>46198</v>
      </c>
      <c r="C313" s="13" t="s">
        <v>70</v>
      </c>
      <c r="D313" s="13" t="s">
        <v>124</v>
      </c>
      <c r="E313" s="13" t="s">
        <v>81</v>
      </c>
      <c r="F313" s="13" t="s">
        <v>67</v>
      </c>
      <c r="G313" s="13" t="s">
        <v>94</v>
      </c>
      <c r="H313" s="15">
        <v>8</v>
      </c>
      <c r="I313" s="16">
        <v>839</v>
      </c>
      <c r="J313" s="17">
        <v>0.2</v>
      </c>
      <c r="K313" s="16">
        <f t="shared" si="8"/>
        <v>5369.6</v>
      </c>
      <c r="L313" s="13" t="s">
        <v>57</v>
      </c>
      <c r="M313" s="13" t="s">
        <v>58</v>
      </c>
      <c r="N313" s="37" t="str">
        <f t="shared" si="9"/>
        <v>Jun-26</v>
      </c>
    </row>
    <row r="314" spans="1:14" ht="15" customHeight="1" x14ac:dyDescent="0.35">
      <c r="A314" s="34" t="s">
        <v>434</v>
      </c>
      <c r="B314" s="9">
        <v>46199</v>
      </c>
      <c r="C314" s="8" t="s">
        <v>65</v>
      </c>
      <c r="D314" s="8" t="s">
        <v>116</v>
      </c>
      <c r="E314" s="8" t="s">
        <v>60</v>
      </c>
      <c r="F314" s="8" t="s">
        <v>67</v>
      </c>
      <c r="G314" s="8" t="s">
        <v>114</v>
      </c>
      <c r="H314" s="10">
        <v>5</v>
      </c>
      <c r="I314" s="11">
        <v>1049</v>
      </c>
      <c r="J314" s="12">
        <v>0</v>
      </c>
      <c r="K314" s="11">
        <f t="shared" si="8"/>
        <v>5245</v>
      </c>
      <c r="L314" s="8" t="s">
        <v>63</v>
      </c>
      <c r="M314" s="8" t="s">
        <v>64</v>
      </c>
      <c r="N314" s="36" t="str">
        <f t="shared" si="9"/>
        <v>Jun-26</v>
      </c>
    </row>
    <row r="315" spans="1:14" ht="15" customHeight="1" x14ac:dyDescent="0.35">
      <c r="A315" s="35" t="s">
        <v>435</v>
      </c>
      <c r="B315" s="14">
        <v>46199</v>
      </c>
      <c r="C315" s="13" t="s">
        <v>65</v>
      </c>
      <c r="D315" s="13" t="s">
        <v>135</v>
      </c>
      <c r="E315" s="13" t="s">
        <v>82</v>
      </c>
      <c r="F315" s="13" t="s">
        <v>72</v>
      </c>
      <c r="G315" s="13" t="s">
        <v>127</v>
      </c>
      <c r="H315" s="15">
        <v>9</v>
      </c>
      <c r="I315" s="16">
        <v>2000</v>
      </c>
      <c r="J315" s="17">
        <v>0.1</v>
      </c>
      <c r="K315" s="16">
        <f t="shared" si="8"/>
        <v>16200</v>
      </c>
      <c r="L315" s="13" t="s">
        <v>63</v>
      </c>
      <c r="M315" s="13" t="s">
        <v>58</v>
      </c>
      <c r="N315" s="37" t="str">
        <f t="shared" si="9"/>
        <v>Jun-26</v>
      </c>
    </row>
    <row r="316" spans="1:14" ht="15" customHeight="1" x14ac:dyDescent="0.35">
      <c r="A316" s="34" t="s">
        <v>436</v>
      </c>
      <c r="B316" s="9">
        <v>46199</v>
      </c>
      <c r="C316" s="8" t="s">
        <v>70</v>
      </c>
      <c r="D316" s="8" t="s">
        <v>93</v>
      </c>
      <c r="E316" s="8" t="s">
        <v>81</v>
      </c>
      <c r="F316" s="8" t="s">
        <v>67</v>
      </c>
      <c r="G316" s="8" t="s">
        <v>100</v>
      </c>
      <c r="H316" s="10">
        <v>6</v>
      </c>
      <c r="I316" s="11">
        <v>2599</v>
      </c>
      <c r="J316" s="12">
        <v>0</v>
      </c>
      <c r="K316" s="11">
        <f t="shared" si="8"/>
        <v>15594</v>
      </c>
      <c r="L316" s="8" t="s">
        <v>57</v>
      </c>
      <c r="M316" s="8" t="s">
        <v>64</v>
      </c>
      <c r="N316" s="36" t="str">
        <f t="shared" si="9"/>
        <v>Jun-26</v>
      </c>
    </row>
    <row r="317" spans="1:14" ht="15" customHeight="1" x14ac:dyDescent="0.35">
      <c r="A317" s="35" t="s">
        <v>437</v>
      </c>
      <c r="B317" s="14">
        <v>46199</v>
      </c>
      <c r="C317" s="13" t="s">
        <v>65</v>
      </c>
      <c r="D317" s="13" t="s">
        <v>116</v>
      </c>
      <c r="E317" s="13" t="s">
        <v>60</v>
      </c>
      <c r="F317" s="13" t="s">
        <v>55</v>
      </c>
      <c r="G317" s="13" t="s">
        <v>97</v>
      </c>
      <c r="H317" s="15">
        <v>6</v>
      </c>
      <c r="I317" s="16">
        <v>1669</v>
      </c>
      <c r="J317" s="17">
        <v>0.05</v>
      </c>
      <c r="K317" s="16">
        <f t="shared" si="8"/>
        <v>9513.2999999999993</v>
      </c>
      <c r="L317" s="13" t="s">
        <v>57</v>
      </c>
      <c r="M317" s="13" t="s">
        <v>64</v>
      </c>
      <c r="N317" s="37" t="str">
        <f t="shared" si="9"/>
        <v>Jun-26</v>
      </c>
    </row>
    <row r="318" spans="1:14" ht="15" customHeight="1" x14ac:dyDescent="0.35">
      <c r="A318" s="34" t="s">
        <v>438</v>
      </c>
      <c r="B318" s="9">
        <v>46201</v>
      </c>
      <c r="C318" s="8" t="s">
        <v>53</v>
      </c>
      <c r="D318" s="8" t="s">
        <v>108</v>
      </c>
      <c r="E318" s="8" t="s">
        <v>54</v>
      </c>
      <c r="F318" s="8" t="s">
        <v>77</v>
      </c>
      <c r="G318" s="8" t="s">
        <v>119</v>
      </c>
      <c r="H318" s="10">
        <v>4</v>
      </c>
      <c r="I318" s="11">
        <v>809</v>
      </c>
      <c r="J318" s="12">
        <v>0.15</v>
      </c>
      <c r="K318" s="11">
        <f t="shared" si="8"/>
        <v>2750.6</v>
      </c>
      <c r="L318" s="8" t="s">
        <v>57</v>
      </c>
      <c r="M318" s="8" t="s">
        <v>64</v>
      </c>
      <c r="N318" s="36" t="str">
        <f t="shared" si="9"/>
        <v>Jun-26</v>
      </c>
    </row>
    <row r="319" spans="1:14" ht="15" customHeight="1" x14ac:dyDescent="0.35">
      <c r="A319" s="35" t="s">
        <v>439</v>
      </c>
      <c r="B319" s="14">
        <v>46201</v>
      </c>
      <c r="C319" s="13" t="s">
        <v>70</v>
      </c>
      <c r="D319" s="13" t="s">
        <v>124</v>
      </c>
      <c r="E319" s="13" t="s">
        <v>76</v>
      </c>
      <c r="F319" s="13" t="s">
        <v>67</v>
      </c>
      <c r="G319" s="13" t="s">
        <v>114</v>
      </c>
      <c r="H319" s="15">
        <v>9</v>
      </c>
      <c r="I319" s="16">
        <v>2839</v>
      </c>
      <c r="J319" s="17">
        <v>0.05</v>
      </c>
      <c r="K319" s="16">
        <f t="shared" si="8"/>
        <v>24273.449999999997</v>
      </c>
      <c r="L319" s="13" t="s">
        <v>57</v>
      </c>
      <c r="M319" s="13" t="s">
        <v>58</v>
      </c>
      <c r="N319" s="37" t="str">
        <f t="shared" si="9"/>
        <v>Jun-26</v>
      </c>
    </row>
    <row r="320" spans="1:14" ht="15" customHeight="1" x14ac:dyDescent="0.35">
      <c r="A320" s="34" t="s">
        <v>440</v>
      </c>
      <c r="B320" s="9">
        <v>46201</v>
      </c>
      <c r="C320" s="8" t="s">
        <v>65</v>
      </c>
      <c r="D320" s="8" t="s">
        <v>96</v>
      </c>
      <c r="E320" s="8" t="s">
        <v>82</v>
      </c>
      <c r="F320" s="8" t="s">
        <v>67</v>
      </c>
      <c r="G320" s="8" t="s">
        <v>94</v>
      </c>
      <c r="H320" s="10">
        <v>12</v>
      </c>
      <c r="I320" s="11">
        <v>2389</v>
      </c>
      <c r="J320" s="12">
        <v>0</v>
      </c>
      <c r="K320" s="11">
        <f t="shared" si="8"/>
        <v>28668</v>
      </c>
      <c r="L320" s="8" t="s">
        <v>57</v>
      </c>
      <c r="M320" s="8" t="s">
        <v>64</v>
      </c>
      <c r="N320" s="36" t="str">
        <f t="shared" si="9"/>
        <v>Jun-26</v>
      </c>
    </row>
    <row r="321" spans="1:14" ht="15" customHeight="1" x14ac:dyDescent="0.35">
      <c r="A321" s="35" t="s">
        <v>441</v>
      </c>
      <c r="B321" s="14">
        <v>46202</v>
      </c>
      <c r="C321" s="13" t="s">
        <v>65</v>
      </c>
      <c r="D321" s="13" t="s">
        <v>96</v>
      </c>
      <c r="E321" s="13" t="s">
        <v>82</v>
      </c>
      <c r="F321" s="13" t="s">
        <v>55</v>
      </c>
      <c r="G321" s="13" t="s">
        <v>112</v>
      </c>
      <c r="H321" s="15">
        <v>5</v>
      </c>
      <c r="I321" s="16">
        <v>2749</v>
      </c>
      <c r="J321" s="17">
        <v>0</v>
      </c>
      <c r="K321" s="16">
        <f t="shared" si="8"/>
        <v>13745</v>
      </c>
      <c r="L321" s="13" t="s">
        <v>57</v>
      </c>
      <c r="M321" s="13" t="s">
        <v>58</v>
      </c>
      <c r="N321" s="37" t="str">
        <f t="shared" si="9"/>
        <v>Jun-26</v>
      </c>
    </row>
    <row r="322" spans="1:14" ht="15" customHeight="1" x14ac:dyDescent="0.35">
      <c r="A322" s="34" t="s">
        <v>442</v>
      </c>
      <c r="B322" s="9">
        <v>46203</v>
      </c>
      <c r="C322" s="8" t="s">
        <v>65</v>
      </c>
      <c r="D322" s="8" t="s">
        <v>116</v>
      </c>
      <c r="E322" s="8" t="s">
        <v>82</v>
      </c>
      <c r="F322" s="8" t="s">
        <v>67</v>
      </c>
      <c r="G322" s="8" t="s">
        <v>114</v>
      </c>
      <c r="H322" s="10">
        <v>12</v>
      </c>
      <c r="I322" s="11">
        <v>1060</v>
      </c>
      <c r="J322" s="12">
        <v>0.05</v>
      </c>
      <c r="K322" s="11">
        <f t="shared" si="8"/>
        <v>12084</v>
      </c>
      <c r="L322" s="8" t="s">
        <v>57</v>
      </c>
      <c r="M322" s="8" t="s">
        <v>58</v>
      </c>
      <c r="N322" s="36" t="str">
        <f t="shared" si="9"/>
        <v>Jun-26</v>
      </c>
    </row>
    <row r="323" spans="1:14" ht="15" customHeight="1" x14ac:dyDescent="0.35">
      <c r="A323" s="41" t="s">
        <v>443</v>
      </c>
      <c r="B323" s="42">
        <v>46203</v>
      </c>
      <c r="C323" s="43" t="s">
        <v>65</v>
      </c>
      <c r="D323" s="43" t="s">
        <v>135</v>
      </c>
      <c r="E323" s="43" t="s">
        <v>60</v>
      </c>
      <c r="F323" s="43" t="s">
        <v>77</v>
      </c>
      <c r="G323" s="43" t="s">
        <v>119</v>
      </c>
      <c r="H323" s="44">
        <v>10</v>
      </c>
      <c r="I323" s="45">
        <v>349</v>
      </c>
      <c r="J323" s="46">
        <v>0.15</v>
      </c>
      <c r="K323" s="45">
        <f t="shared" si="8"/>
        <v>2966.5</v>
      </c>
      <c r="L323" s="43" t="s">
        <v>63</v>
      </c>
      <c r="M323" s="43" t="s">
        <v>64</v>
      </c>
      <c r="N323" s="47" t="str">
        <f t="shared" si="9"/>
        <v>Jun-26</v>
      </c>
    </row>
  </sheetData>
  <mergeCells count="1">
    <mergeCell ref="A1:N1"/>
  </mergeCells>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B2:H32"/>
  <sheetViews>
    <sheetView showGridLines="0" topLeftCell="A9" zoomScaleNormal="100" workbookViewId="0">
      <selection activeCell="C19" sqref="C19"/>
    </sheetView>
  </sheetViews>
  <sheetFormatPr defaultColWidth="8.6328125" defaultRowHeight="14.5" x14ac:dyDescent="0.35"/>
  <cols>
    <col min="1" max="1" width="3" customWidth="1"/>
    <col min="2" max="2" width="26" customWidth="1"/>
    <col min="3" max="3" width="20" customWidth="1"/>
    <col min="4" max="4" width="26" customWidth="1"/>
    <col min="5" max="5" width="20" customWidth="1"/>
    <col min="6" max="6" width="3" customWidth="1"/>
    <col min="7" max="7" width="30" customWidth="1"/>
    <col min="8" max="8" width="45" customWidth="1"/>
  </cols>
  <sheetData>
    <row r="2" spans="2:8" ht="25.5" customHeight="1" x14ac:dyDescent="0.35">
      <c r="B2" s="50" t="s">
        <v>444</v>
      </c>
      <c r="C2" s="50"/>
      <c r="D2" s="50"/>
      <c r="E2" s="50"/>
    </row>
    <row r="4" spans="2:8" ht="18" customHeight="1" x14ac:dyDescent="0.35">
      <c r="B4" s="51" t="s">
        <v>445</v>
      </c>
      <c r="C4" s="51"/>
      <c r="D4" s="51"/>
      <c r="E4" s="51"/>
    </row>
    <row r="6" spans="2:8" ht="15" customHeight="1" x14ac:dyDescent="0.35">
      <c r="B6" s="18" t="s">
        <v>446</v>
      </c>
      <c r="C6" s="19" t="s">
        <v>52</v>
      </c>
      <c r="G6" s="18" t="s">
        <v>447</v>
      </c>
    </row>
    <row r="7" spans="2:8" ht="15" customHeight="1" x14ac:dyDescent="0.35">
      <c r="B7" s="18" t="s">
        <v>448</v>
      </c>
      <c r="C7" s="19" t="s">
        <v>52</v>
      </c>
      <c r="G7" s="20"/>
      <c r="H7" s="21" t="s">
        <v>449</v>
      </c>
    </row>
    <row r="8" spans="2:8" ht="15" customHeight="1" x14ac:dyDescent="0.35">
      <c r="B8" s="18" t="s">
        <v>450</v>
      </c>
      <c r="C8" s="19" t="s">
        <v>52</v>
      </c>
      <c r="G8" s="22"/>
      <c r="H8" s="21" t="s">
        <v>451</v>
      </c>
    </row>
    <row r="9" spans="2:8" ht="15" customHeight="1" x14ac:dyDescent="0.35">
      <c r="B9" s="18" t="s">
        <v>452</v>
      </c>
      <c r="C9" s="19" t="s">
        <v>62</v>
      </c>
      <c r="G9" s="23"/>
      <c r="H9" s="21" t="s">
        <v>453</v>
      </c>
    </row>
    <row r="10" spans="2:8" ht="15" customHeight="1" x14ac:dyDescent="0.35">
      <c r="B10" s="18" t="s">
        <v>454</v>
      </c>
      <c r="C10" s="19" t="s">
        <v>52</v>
      </c>
    </row>
    <row r="11" spans="2:8" ht="15" customHeight="1" x14ac:dyDescent="0.35">
      <c r="B11" s="18" t="s">
        <v>455</v>
      </c>
      <c r="C11" s="19" t="s">
        <v>52</v>
      </c>
      <c r="G11" s="1" t="s">
        <v>456</v>
      </c>
    </row>
    <row r="12" spans="2:8" ht="15" customHeight="1" x14ac:dyDescent="0.35">
      <c r="B12" s="18" t="s">
        <v>457</v>
      </c>
      <c r="C12" s="24">
        <v>250000</v>
      </c>
    </row>
    <row r="13" spans="2:8" ht="15" customHeight="1" x14ac:dyDescent="0.35">
      <c r="B13" s="25" t="s">
        <v>458</v>
      </c>
    </row>
    <row r="15" spans="2:8" ht="18" customHeight="1" x14ac:dyDescent="0.35">
      <c r="B15" s="51" t="s">
        <v>459</v>
      </c>
      <c r="C15" s="51"/>
      <c r="D15" s="51"/>
      <c r="E15" s="51"/>
    </row>
    <row r="17" spans="2:5" ht="15" customHeight="1" x14ac:dyDescent="0.35">
      <c r="B17" s="26" t="s">
        <v>474</v>
      </c>
      <c r="C17" s="10">
        <f>COUNTIFS(Prd[Region],IF($C$6="All","*",$C$6),Prd[Sales Rep],IF($C$7="All","*",$C$7),Prd[Product Category],IF($C$8="All","*",$C$8),Prd[Order Month],IF($C$9="All","*",$C$9),Prd[Order Status],IF($C$10="All","*",$C$10),Prd[Customer Type],IF($C$11="All","*",$C$11))</f>
        <v>45</v>
      </c>
    </row>
    <row r="18" spans="2:5" ht="15" customHeight="1" x14ac:dyDescent="0.35">
      <c r="B18" s="26" t="s">
        <v>460</v>
      </c>
      <c r="C18" s="49">
        <f>SUMIFS(Prd[Sales Amount ($)],Prd[Region],IF($C$6="All","*",$C$6),Prd[Sales Rep],IF($C$7="All","*",$C$7),Prd[Product Category],IF($C$8="All","*",$C$8),Prd[Order Month],IF($C$9="All","*",$C$9),Prd[Order Status],IF($C$10="All","*",$C$10),Prd[Customer Type],IF($C$11="All","*",$C$11))</f>
        <v>442579.99999999994</v>
      </c>
    </row>
    <row r="19" spans="2:5" ht="15" customHeight="1" x14ac:dyDescent="0.35">
      <c r="B19" s="26" t="s">
        <v>461</v>
      </c>
      <c r="C19" s="10">
        <f>SUMIFS(Prd[Units Sold],Prd[Region],IF(C6="All","*",C6),Prd[Sales Rep],IF(C7="All","*",C7),Prd[Product Category],IF(C8="All","*",C8),Prd[Order Month],IF(C9="All","*",C9),Prd[Order Status],IF(C10="All","*",C10),Prd[Customer Type],IF(C11="All","*",C11))</f>
        <v>303</v>
      </c>
    </row>
    <row r="20" spans="2:5" ht="15" customHeight="1" x14ac:dyDescent="0.35">
      <c r="B20" s="26" t="s">
        <v>462</v>
      </c>
      <c r="C20" s="49">
        <f>AVERAGEIFS(Prd[Sales Amount ($)],Prd[Region],IF(C6="All","*",C6),Prd[Sales Rep],IF(C7="All","*",C7),Prd[Product Category],IF(C8="All","*",C8),Prd[Order Month],IF(C9="All","*",C9),Prd[Order Status],IF(C10="All","*",C10),Prd[Customer Type],IF(C11="All","*",C11))</f>
        <v>9835.1111111111095</v>
      </c>
    </row>
    <row r="21" spans="2:5" ht="15" customHeight="1" x14ac:dyDescent="0.35">
      <c r="B21" s="26" t="s">
        <v>463</v>
      </c>
      <c r="C21" s="48">
        <f>SUMIFS(Prd[Discount %],Prd[Region],IF(C6="All","*",C6),Prd[Sales Rep],IF(C7="All","*",C7),Prd[Product Category],IF(C8="All","*",C8),Prd[Order Month],IF(C9="All","*",C9),Prd[Order Status],IF(C10="All","*",C10),Prd[Customer Type],IF(C11="All","*",C11))</f>
        <v>3.1999999999999988</v>
      </c>
    </row>
    <row r="22" spans="2:5" ht="15" customHeight="1" x14ac:dyDescent="0.35">
      <c r="B22" s="26" t="s">
        <v>464</v>
      </c>
      <c r="C22" s="57">
        <f>SUMIFS(Prd[Sales Amount ($)],Prd[Order Month],IF(C9="All","*",C9))/(IF(C9="All",COUNTA(Order_Month)-1,1)*C12)</f>
        <v>1.7703199999999997</v>
      </c>
    </row>
    <row r="24" spans="2:5" ht="18" customHeight="1" x14ac:dyDescent="0.35">
      <c r="B24" s="51" t="s">
        <v>465</v>
      </c>
      <c r="C24" s="51"/>
      <c r="D24" s="51"/>
      <c r="E24" s="51"/>
    </row>
    <row r="25" spans="2:5" ht="15" customHeight="1" x14ac:dyDescent="0.35">
      <c r="B25" s="7" t="s">
        <v>50</v>
      </c>
      <c r="C25" s="7" t="s">
        <v>466</v>
      </c>
    </row>
    <row r="26" spans="2:5" ht="15" customHeight="1" x14ac:dyDescent="0.35">
      <c r="B26" s="8" t="s">
        <v>57</v>
      </c>
      <c r="C26" s="10">
        <f>COUNTIFS(Prd[Region],IF($C$6="All","*",$C$6),Prd[Sales Rep],IF($C$7="All","*",$C$7),Prd[Product Category],IF($C$8="All","*",$C$8),Prd[Order Month],IF($C$9="All","*",$C$9),Prd[Order Status],IF($C$10="All","*",$C$10),Prd[Customer Type],IF($C$11="All","*",$C$11),Prd[Order Status],B26)</f>
        <v>24</v>
      </c>
    </row>
    <row r="27" spans="2:5" ht="15" customHeight="1" x14ac:dyDescent="0.35">
      <c r="B27" s="8" t="s">
        <v>63</v>
      </c>
      <c r="C27" s="10">
        <f>COUNTIFS(Prd[Region],IF($C$6="All","*",$C$6),Prd[Sales Rep],IF($C$7="All","*",$C$7),Prd[Product Category],IF($C$8="All","*",$C$8),Prd[Order Month],IF($C$9="All","*",$C$9),Prd[Order Status],IF($C$10="All","*",$C$10),Prd[Customer Type],IF($C$11="All","*",$C$11),Prd[Order Status],B27)</f>
        <v>7</v>
      </c>
    </row>
    <row r="28" spans="2:5" ht="15" customHeight="1" x14ac:dyDescent="0.35">
      <c r="B28" s="8" t="s">
        <v>69</v>
      </c>
      <c r="C28" s="10">
        <f>COUNTIFS(Prd[Region],IF($C$6="All","*",$C$6),Prd[Sales Rep],IF($C$7="All","*",$C$7),Prd[Product Category],IF($C$8="All","*",$C$8),Prd[Order Month],IF($C$9="All","*",$C$9),Prd[Order Status],IF($C$10="All","*",$C$10),Prd[Customer Type],IF($C$11="All","*",$C$11),Prd[Order Status],B28)</f>
        <v>9</v>
      </c>
    </row>
    <row r="29" spans="2:5" ht="15" customHeight="1" x14ac:dyDescent="0.35">
      <c r="B29" s="8" t="s">
        <v>74</v>
      </c>
      <c r="C29" s="10">
        <f>COUNTIFS(Prd[Region],IF($C$6="All","*",$C$6),Prd[Sales Rep],IF($C$7="All","*",$C$7),Prd[Product Category],IF($C$8="All","*",$C$8),Prd[Order Month],IF($C$9="All","*",$C$9),Prd[Order Status],IF($C$10="All","*",$C$10),Prd[Customer Type],IF($C$11="All","*",$C$11),Prd[Order Status],B29)</f>
        <v>5</v>
      </c>
    </row>
    <row r="31" spans="2:5" ht="15" customHeight="1" x14ac:dyDescent="0.35">
      <c r="B31" s="52" t="s">
        <v>467</v>
      </c>
      <c r="C31" s="52"/>
      <c r="D31" s="52"/>
      <c r="E31" s="52"/>
    </row>
    <row r="32" spans="2:5" ht="15" customHeight="1" x14ac:dyDescent="0.35">
      <c r="B32" s="18" t="s">
        <v>468</v>
      </c>
      <c r="C32" s="27" t="s">
        <v>469</v>
      </c>
    </row>
  </sheetData>
  <mergeCells count="5">
    <mergeCell ref="B2:E2"/>
    <mergeCell ref="B4:E4"/>
    <mergeCell ref="B15:E15"/>
    <mergeCell ref="B24:E24"/>
    <mergeCell ref="B31:E31"/>
  </mergeCells>
  <dataValidations count="6">
    <dataValidation type="list" allowBlank="1" showInputMessage="1" showErrorMessage="1" sqref="C6" xr:uid="{6FE2D96B-475C-4AD9-A2E9-DBC6C8EF1A85}">
      <formula1>Region</formula1>
    </dataValidation>
    <dataValidation type="list" allowBlank="1" showInputMessage="1" showErrorMessage="1" sqref="C7" xr:uid="{0C1FCCD8-8E7D-4939-841D-55C8F2C0627D}">
      <formula1>Sales_Rep</formula1>
    </dataValidation>
    <dataValidation type="list" allowBlank="1" showInputMessage="1" showErrorMessage="1" sqref="C8" xr:uid="{AA1E57CC-95C9-41FD-A7F2-E27B789A0E74}">
      <formula1>Product_Category</formula1>
    </dataValidation>
    <dataValidation type="list" allowBlank="1" showInputMessage="1" showErrorMessage="1" sqref="C9" xr:uid="{256B3FF1-67FF-4B93-BB50-265DCD50BDC0}">
      <formula1>Order_Month</formula1>
    </dataValidation>
    <dataValidation type="list" allowBlank="1" showInputMessage="1" showErrorMessage="1" sqref="C10" xr:uid="{C7C86923-4404-470C-8D6A-6B8C8759F19C}">
      <formula1>Order_Status</formula1>
    </dataValidation>
    <dataValidation type="list" allowBlank="1" showInputMessage="1" showErrorMessage="1" sqref="C11" xr:uid="{FE84AF68-A017-48C5-A83B-0F56B7B287B4}">
      <formula1>Customer_Type</formula1>
    </dataValidation>
  </dataValidations>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57DDF-5CB5-4A8B-937A-2557700DA76B}">
  <dimension ref="D1:E13"/>
  <sheetViews>
    <sheetView tabSelected="1" workbookViewId="0">
      <selection activeCell="E9" sqref="E9"/>
    </sheetView>
  </sheetViews>
  <sheetFormatPr defaultRowHeight="14.5" x14ac:dyDescent="0.35"/>
  <cols>
    <col min="4" max="4" width="21.26953125" customWidth="1"/>
  </cols>
  <sheetData>
    <row r="1" spans="4:5" x14ac:dyDescent="0.35">
      <c r="D1" s="58"/>
    </row>
    <row r="2" spans="4:5" x14ac:dyDescent="0.35">
      <c r="D2" s="58"/>
    </row>
    <row r="3" spans="4:5" x14ac:dyDescent="0.35">
      <c r="D3" s="58"/>
    </row>
    <row r="4" spans="4:5" x14ac:dyDescent="0.35">
      <c r="D4" s="58"/>
    </row>
    <row r="5" spans="4:5" x14ac:dyDescent="0.35">
      <c r="D5" s="59"/>
    </row>
    <row r="8" spans="4:5" x14ac:dyDescent="0.35">
      <c r="E8" t="s">
        <v>479</v>
      </c>
    </row>
    <row r="9" spans="4:5" x14ac:dyDescent="0.35">
      <c r="D9" s="58" t="s">
        <v>55</v>
      </c>
    </row>
    <row r="10" spans="4:5" x14ac:dyDescent="0.35">
      <c r="D10" s="58" t="s">
        <v>61</v>
      </c>
    </row>
    <row r="11" spans="4:5" x14ac:dyDescent="0.35">
      <c r="D11" s="58" t="s">
        <v>67</v>
      </c>
    </row>
    <row r="12" spans="4:5" x14ac:dyDescent="0.35">
      <c r="D12" s="58" t="s">
        <v>72</v>
      </c>
    </row>
    <row r="13" spans="4:5" x14ac:dyDescent="0.35">
      <c r="D13" s="59" t="s">
        <v>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B2:G37"/>
  <sheetViews>
    <sheetView showGridLines="0" zoomScaleNormal="100" workbookViewId="0"/>
  </sheetViews>
  <sheetFormatPr defaultColWidth="8.6328125" defaultRowHeight="14.5" x14ac:dyDescent="0.35"/>
  <cols>
    <col min="1" max="1" width="3" customWidth="1"/>
    <col min="2" max="2" width="28" customWidth="1"/>
    <col min="3" max="3" width="22" customWidth="1"/>
    <col min="4" max="4" width="26" customWidth="1"/>
    <col min="5" max="5" width="20" customWidth="1"/>
  </cols>
  <sheetData>
    <row r="2" spans="2:5" ht="24" customHeight="1" x14ac:dyDescent="0.4">
      <c r="B2" s="54" t="s">
        <v>470</v>
      </c>
      <c r="C2" s="54"/>
      <c r="D2" s="54"/>
      <c r="E2" s="54"/>
    </row>
    <row r="4" spans="2:5" ht="15" customHeight="1" x14ac:dyDescent="0.35">
      <c r="B4" s="55" t="s">
        <v>471</v>
      </c>
      <c r="C4" s="55"/>
      <c r="D4" s="55"/>
      <c r="E4" s="55"/>
    </row>
    <row r="6" spans="2:5" ht="15" customHeight="1" x14ac:dyDescent="0.35">
      <c r="B6" s="56" t="s">
        <v>472</v>
      </c>
      <c r="C6" s="56"/>
      <c r="D6" s="56"/>
      <c r="E6" s="56"/>
    </row>
    <row r="8" spans="2:5" ht="15" customHeight="1" x14ac:dyDescent="0.35">
      <c r="B8" s="18" t="s">
        <v>446</v>
      </c>
      <c r="C8" s="19" t="s">
        <v>52</v>
      </c>
    </row>
    <row r="9" spans="2:5" ht="15" customHeight="1" x14ac:dyDescent="0.35">
      <c r="B9" s="18" t="s">
        <v>448</v>
      </c>
      <c r="C9" s="19" t="s">
        <v>52</v>
      </c>
    </row>
    <row r="10" spans="2:5" ht="15" customHeight="1" x14ac:dyDescent="0.35">
      <c r="B10" s="18" t="s">
        <v>450</v>
      </c>
      <c r="C10" s="19" t="s">
        <v>52</v>
      </c>
    </row>
    <row r="11" spans="2:5" ht="15" customHeight="1" x14ac:dyDescent="0.35">
      <c r="B11" s="18" t="s">
        <v>452</v>
      </c>
      <c r="C11" s="19" t="s">
        <v>52</v>
      </c>
    </row>
    <row r="12" spans="2:5" ht="15" customHeight="1" x14ac:dyDescent="0.35">
      <c r="B12" s="18" t="s">
        <v>454</v>
      </c>
      <c r="C12" s="19" t="s">
        <v>52</v>
      </c>
    </row>
    <row r="13" spans="2:5" ht="15" customHeight="1" x14ac:dyDescent="0.35">
      <c r="B13" s="18" t="s">
        <v>455</v>
      </c>
      <c r="C13" s="19" t="s">
        <v>52</v>
      </c>
    </row>
    <row r="14" spans="2:5" ht="15" customHeight="1" x14ac:dyDescent="0.35">
      <c r="B14" s="18" t="s">
        <v>457</v>
      </c>
      <c r="C14" s="28">
        <v>250000</v>
      </c>
    </row>
    <row r="16" spans="2:5" ht="15" customHeight="1" x14ac:dyDescent="0.35">
      <c r="B16" s="56" t="s">
        <v>473</v>
      </c>
      <c r="C16" s="56"/>
      <c r="D16" s="56"/>
      <c r="E16" s="56"/>
    </row>
    <row r="18" spans="2:6" ht="15" customHeight="1" x14ac:dyDescent="0.35">
      <c r="B18" s="26" t="s">
        <v>474</v>
      </c>
      <c r="C18" s="29">
        <f>COUNTIFS(Dataset!$C$4:$C$323,IF($C$8="All","*",$C$8),Dataset!$E$4:$E$323,IF($C$9="All","*",$C$9),Dataset!$F$4:$F$323,IF($C$10="All","*",$C$10),Dataset!$N$4:$N$323,IF($C$11="All","*",$C$11),Dataset!$L$4:$L$323,IF($C$12="All","*",$C$12),Dataset!$M$4:$M$323,IF($C$13="All","*",$C$13))</f>
        <v>320</v>
      </c>
    </row>
    <row r="19" spans="2:6" ht="15" customHeight="1" x14ac:dyDescent="0.35">
      <c r="B19" s="26" t="s">
        <v>460</v>
      </c>
      <c r="C19" s="30">
        <f>SUMIFS(Dataset!$K$4:$K$323,Dataset!$C$4:$C$323,IF($C$8="All","*",$C$8),Dataset!$E$4:$E$323,IF($C$9="All","*",$C$9),Dataset!$F$4:$F$323,IF($C$10="All","*",$C$10),Dataset!$N$4:$N$323,IF($C$11="All","*",$C$11),Dataset!$L$4:$L$323,IF($C$12="All","*",$C$12),Dataset!$M$4:$M$323,IF($C$13="All","*",$C$13))</f>
        <v>3521312.0000000009</v>
      </c>
    </row>
    <row r="20" spans="2:6" ht="15" customHeight="1" x14ac:dyDescent="0.35">
      <c r="B20" s="26" t="s">
        <v>461</v>
      </c>
      <c r="C20" s="29">
        <f>SUMIFS(Dataset!$H$4:$H$323,Dataset!$C$4:$C$323,IF($C$8="All","*",$C$8),Dataset!$E$4:$E$323,IF($C$9="All","*",$C$9),Dataset!$F$4:$F$323,IF($C$10="All","*",$C$10),Dataset!$N$4:$N$323,IF($C$11="All","*",$C$11),Dataset!$L$4:$L$323,IF($C$12="All","*",$C$12),Dataset!$M$4:$M$323,IF($C$13="All","*",$C$13))</f>
        <v>2119</v>
      </c>
    </row>
    <row r="21" spans="2:6" ht="15" customHeight="1" x14ac:dyDescent="0.35">
      <c r="B21" s="26" t="s">
        <v>462</v>
      </c>
      <c r="C21" s="30">
        <f>IFERROR(AVERAGEIFS(Dataset!$K$4:$K$323,Dataset!$C$4:$C$323,IF($C$8="All","*",$C$8),Dataset!$E$4:$E$323,IF($C$9="All","*",$C$9),Dataset!$F$4:$F$323,IF($C$10="All","*",$C$10),Dataset!$N$4:$N$323,IF($C$11="All","*",$C$11),Dataset!$L$4:$L$323,IF($C$12="All","*",$C$12),Dataset!$M$4:$M$323,IF($C$13="All","*",$C$13)),0)</f>
        <v>11004.100000000002</v>
      </c>
    </row>
    <row r="22" spans="2:6" ht="15" customHeight="1" x14ac:dyDescent="0.35">
      <c r="B22" s="26" t="s">
        <v>463</v>
      </c>
      <c r="C22" s="30">
        <f>SUMPRODUCT(((Dataset!$C$4:$C$323=$C$8)+($C$8="All")&gt;0)*((Dataset!$E$4:$E$323=$C$9)+($C$9="All")&gt;0)*((Dataset!$F$4:$F$323=$C$10)+($C$10="All")&gt;0)*((Dataset!$N$4:$N$323=$C$11)+($C$11="All")&gt;0)*((Dataset!$L$4:$L$323=$C$12)+($C$12="All")&gt;0)*((Dataset!$M$4:$M$323=$C$13)+($C$13="All")&gt;0)*(Dataset!$H$4:$H$323)*(Dataset!$I$4:$I$323)*(Dataset!$J$4:$J$323))</f>
        <v>218273.99999999994</v>
      </c>
    </row>
    <row r="23" spans="2:6" ht="15" customHeight="1" x14ac:dyDescent="0.35">
      <c r="B23" s="26" t="s">
        <v>464</v>
      </c>
      <c r="C23" s="31">
        <f>IFERROR(SUMIFS(Dataset!$K$4:$K$323,Dataset!$C$4:$C$323,IF($C$8="All","*",$C$8),Dataset!$E$4:$E$323,IF($C$9="All","*",$C$9),Dataset!$F$4:$F$323,IF($C$10="All","*",$C$10),Dataset!$N$4:$N$323,IF($C$11="All","*",$C$11),Dataset!$L$4:$L$323,IF($C$12="All","*",$C$12),Dataset!$M$4:$M$323,IF($C$13="All","*",$C$13))/$C$14,0)</f>
        <v>14.085248000000004</v>
      </c>
    </row>
    <row r="25" spans="2:6" ht="15" customHeight="1" x14ac:dyDescent="0.35">
      <c r="B25" s="56" t="s">
        <v>475</v>
      </c>
      <c r="C25" s="56"/>
      <c r="D25" s="56"/>
      <c r="E25" s="56"/>
    </row>
    <row r="26" spans="2:6" ht="15" customHeight="1" x14ac:dyDescent="0.35">
      <c r="B26" s="32" t="s">
        <v>50</v>
      </c>
      <c r="C26" s="32" t="s">
        <v>466</v>
      </c>
    </row>
    <row r="27" spans="2:6" ht="15" customHeight="1" x14ac:dyDescent="0.35">
      <c r="B27" s="8" t="s">
        <v>57</v>
      </c>
      <c r="C27" s="10">
        <f>COUNTIFS(Dataset!$C$4:$C$323,IF($C$8="All","*",$C$8),Dataset!$E$4:$E$323,IF($C$9="All","*",$C$9),Dataset!$F$4:$F$323,IF($C$10="All","*",$C$10),Dataset!$N$4:$N$323,IF($C$11="All","*",$C$11),Dataset!$L$4:$L$323,"Delivered",Dataset!$M$4:$M$323,IF($C$13="All","*",$C$13))</f>
        <v>196</v>
      </c>
    </row>
    <row r="28" spans="2:6" ht="15" customHeight="1" x14ac:dyDescent="0.35">
      <c r="B28" s="8" t="s">
        <v>63</v>
      </c>
      <c r="C28" s="10">
        <f>COUNTIFS(Dataset!$C$4:$C$323,IF($C$8="All","*",$C$8),Dataset!$E$4:$E$323,IF($C$9="All","*",$C$9),Dataset!$F$4:$F$323,IF($C$10="All","*",$C$10),Dataset!$N$4:$N$323,IF($C$11="All","*",$C$11),Dataset!$L$4:$L$323,"Pending",Dataset!$M$4:$M$323,IF($C$13="All","*",$C$13))</f>
        <v>55</v>
      </c>
    </row>
    <row r="29" spans="2:6" ht="15" customHeight="1" x14ac:dyDescent="0.35">
      <c r="B29" s="8" t="s">
        <v>69</v>
      </c>
      <c r="C29" s="10">
        <f>COUNTIFS(Dataset!$C$4:$C$323,IF($C$8="All","*",$C$8),Dataset!$E$4:$E$323,IF($C$9="All","*",$C$9),Dataset!$F$4:$F$323,IF($C$10="All","*",$C$10),Dataset!$N$4:$N$323,IF($C$11="All","*",$C$11),Dataset!$L$4:$L$323,"Cancelled",Dataset!$M$4:$M$323,IF($C$13="All","*",$C$13))</f>
        <v>43</v>
      </c>
    </row>
    <row r="30" spans="2:6" ht="15" customHeight="1" x14ac:dyDescent="0.35">
      <c r="B30" s="8" t="s">
        <v>74</v>
      </c>
      <c r="C30" s="10">
        <f>COUNTIFS(Dataset!$C$4:$C$323,IF($C$8="All","*",$C$8),Dataset!$E$4:$E$323,IF($C$9="All","*",$C$9),Dataset!$F$4:$F$323,IF($C$10="All","*",$C$10),Dataset!$N$4:$N$323,IF($C$11="All","*",$C$11),Dataset!$L$4:$L$323,"Returned",Dataset!$M$4:$M$323,IF($C$13="All","*",$C$13))</f>
        <v>26</v>
      </c>
    </row>
    <row r="32" spans="2:6" ht="15" customHeight="1" x14ac:dyDescent="0.35">
      <c r="B32" s="18" t="s">
        <v>476</v>
      </c>
      <c r="C32" s="10" t="str">
        <f>INDEX(F33:F37,MATCH(MAX(G33:G37),G33:G37,0))</f>
        <v>Home &amp; Kitchen</v>
      </c>
      <c r="F32" s="1" t="s">
        <v>477</v>
      </c>
    </row>
    <row r="33" spans="6:7" ht="15" customHeight="1" x14ac:dyDescent="0.35">
      <c r="F33" s="21" t="s">
        <v>55</v>
      </c>
      <c r="G33" s="33">
        <f>SUMIFS(Dataset!$K$4:$K$323,Dataset!$C$4:$C$323,IF($C$8="All","*",$C$8),Dataset!$E$4:$E$323,IF($C$9="All","*",$C$9),Dataset!$F$4:$F$323,"Electronics",Dataset!$N$4:$N$323,IF($C$11="All","*",$C$11),Dataset!$L$4:$L$323,IF($C$12="All","*",$C$12),Dataset!$M$4:$M$323,IF($C$13="All","*",$C$13))</f>
        <v>904662.75</v>
      </c>
    </row>
    <row r="34" spans="6:7" ht="15" customHeight="1" x14ac:dyDescent="0.35">
      <c r="F34" s="21" t="s">
        <v>61</v>
      </c>
      <c r="G34" s="33">
        <f>SUMIFS(Dataset!$K$4:$K$323,Dataset!$C$4:$C$323,IF($C$8="All","*",$C$8),Dataset!$E$4:$E$323,IF($C$9="All","*",$C$9),Dataset!$F$4:$F$323,"Apparel",Dataset!$N$4:$N$323,IF($C$11="All","*",$C$11),Dataset!$L$4:$L$323,IF($C$12="All","*",$C$12),Dataset!$M$4:$M$323,IF($C$13="All","*",$C$13))</f>
        <v>527653.14999999991</v>
      </c>
    </row>
    <row r="35" spans="6:7" ht="15" customHeight="1" x14ac:dyDescent="0.35">
      <c r="F35" s="21" t="s">
        <v>67</v>
      </c>
      <c r="G35" s="33">
        <f>SUMIFS(Dataset!$K$4:$K$323,Dataset!$C$4:$C$323,IF($C$8="All","*",$C$8),Dataset!$E$4:$E$323,IF($C$9="All","*",$C$9),Dataset!$F$4:$F$323,"Home &amp; Kitchen",Dataset!$N$4:$N$323,IF($C$11="All","*",$C$11),Dataset!$L$4:$L$323,IF($C$12="All","*",$C$12),Dataset!$M$4:$M$323,IF($C$13="All","*",$C$13))</f>
        <v>971369.29999999993</v>
      </c>
    </row>
    <row r="36" spans="6:7" ht="15" customHeight="1" x14ac:dyDescent="0.35">
      <c r="F36" s="21" t="s">
        <v>72</v>
      </c>
      <c r="G36" s="33">
        <f>SUMIFS(Dataset!$K$4:$K$323,Dataset!$C$4:$C$323,IF($C$8="All","*",$C$8),Dataset!$E$4:$E$323,IF($C$9="All","*",$C$9),Dataset!$F$4:$F$323,"Sporting Goods",Dataset!$N$4:$N$323,IF($C$11="All","*",$C$11),Dataset!$L$4:$L$323,IF($C$12="All","*",$C$12),Dataset!$M$4:$M$323,IF($C$13="All","*",$C$13))</f>
        <v>848468.15</v>
      </c>
    </row>
    <row r="37" spans="6:7" ht="15" customHeight="1" x14ac:dyDescent="0.35">
      <c r="F37" s="21" t="s">
        <v>77</v>
      </c>
      <c r="G37" s="33">
        <f>SUMIFS(Dataset!$K$4:$K$323,Dataset!$C$4:$C$323,IF($C$8="All","*",$C$8),Dataset!$E$4:$E$323,IF($C$9="All","*",$C$9),Dataset!$F$4:$F$323,"Beauty &amp; Personal Care",Dataset!$N$4:$N$323,IF($C$11="All","*",$C$11),Dataset!$L$4:$L$323,IF($C$12="All","*",$C$12),Dataset!$M$4:$M$323,IF($C$13="All","*",$C$13))</f>
        <v>269158.65000000002</v>
      </c>
    </row>
  </sheetData>
  <mergeCells count="5">
    <mergeCell ref="B2:E2"/>
    <mergeCell ref="B4:E4"/>
    <mergeCell ref="B6:E6"/>
    <mergeCell ref="B16:E16"/>
    <mergeCell ref="B25:E25"/>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6">
        <x14:dataValidation type="list" xr:uid="{00000000-0002-0000-0400-000000000000}">
          <x14:formula1>
            <xm:f>Lists!$A$2:$A$6</xm:f>
          </x14:formula1>
          <x14:formula2>
            <xm:f>0</xm:f>
          </x14:formula2>
          <xm:sqref>C8</xm:sqref>
        </x14:dataValidation>
        <x14:dataValidation type="list" xr:uid="{00000000-0002-0000-0400-000001000000}">
          <x14:formula1>
            <xm:f>Lists!$B$2:$B$10</xm:f>
          </x14:formula1>
          <x14:formula2>
            <xm:f>0</xm:f>
          </x14:formula2>
          <xm:sqref>C9</xm:sqref>
        </x14:dataValidation>
        <x14:dataValidation type="list" xr:uid="{00000000-0002-0000-0400-000002000000}">
          <x14:formula1>
            <xm:f>Lists!$C$2:$C$7</xm:f>
          </x14:formula1>
          <x14:formula2>
            <xm:f>0</xm:f>
          </x14:formula2>
          <xm:sqref>C10</xm:sqref>
        </x14:dataValidation>
        <x14:dataValidation type="list" xr:uid="{00000000-0002-0000-0400-000003000000}">
          <x14:formula1>
            <xm:f>Lists!$D$2:$D$8</xm:f>
          </x14:formula1>
          <x14:formula2>
            <xm:f>0</xm:f>
          </x14:formula2>
          <xm:sqref>C11</xm:sqref>
        </x14:dataValidation>
        <x14:dataValidation type="list" xr:uid="{00000000-0002-0000-0400-000004000000}">
          <x14:formula1>
            <xm:f>Lists!$E$2:$E$6</xm:f>
          </x14:formula1>
          <x14:formula2>
            <xm:f>0</xm:f>
          </x14:formula2>
          <xm:sqref>C12</xm:sqref>
        </x14:dataValidation>
        <x14:dataValidation type="list" xr:uid="{00000000-0002-0000-0400-000005000000}">
          <x14:formula1>
            <xm:f>Lists!$F$2:$F$4</xm:f>
          </x14:formula1>
          <x14:formula2>
            <xm:f>0</xm:f>
          </x14:formula2>
          <xm:sqref>C13</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Instructions</vt:lpstr>
      <vt:lpstr>Lists</vt:lpstr>
      <vt:lpstr>Dataset</vt:lpstr>
      <vt:lpstr>Tracker</vt:lpstr>
      <vt:lpstr>Sheet1</vt:lpstr>
      <vt:lpstr>Answer Key (Instructor Only)</vt:lpstr>
      <vt:lpstr>All</vt:lpstr>
      <vt:lpstr>Customer_Type</vt:lpstr>
      <vt:lpstr>Order_Month</vt:lpstr>
      <vt:lpstr>Order_Status</vt:lpstr>
      <vt:lpstr>Product_Category</vt:lpstr>
      <vt:lpstr>Region</vt:lpstr>
      <vt:lpstr>Sales_Rep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Koushik Bhakat</cp:lastModifiedBy>
  <cp:revision>0</cp:revision>
  <dcterms:created xsi:type="dcterms:W3CDTF">2026-09-11T07:44:13Z</dcterms:created>
  <dcterms:modified xsi:type="dcterms:W3CDTF">2026-09-29T15:09:00Z</dcterms:modified>
  <dc:language>en-US</dc:language>
</cp:coreProperties>
</file>